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.brammell\Desktop\Primer Miner work - 1 15 26\Results - 1 16 25\"/>
    </mc:Choice>
  </mc:AlternateContent>
  <xr:revisionPtr revIDLastSave="0" documentId="13_ncr:1_{E68F6612-A2D8-46EE-9B35-790FADEA9319}" xr6:coauthVersionLast="36" xr6:coauthVersionMax="36" xr10:uidLastSave="{00000000-0000-0000-0000-000000000000}"/>
  <bookViews>
    <workbookView xWindow="0" yWindow="0" windowWidth="12732" windowHeight="8784" xr2:uid="{00000000-000D-0000-FFFF-FFFF00000000}"/>
  </bookViews>
  <sheets>
    <sheet name="MiFish F(onlyboth,nodup)" sheetId="2" r:id="rId1"/>
    <sheet name="MiFish F(useinfuture)" sheetId="1" r:id="rId2"/>
  </sheets>
  <calcPr calcId="179021"/>
</workbook>
</file>

<file path=xl/calcChain.xml><?xml version="1.0" encoding="utf-8"?>
<calcChain xmlns="http://schemas.openxmlformats.org/spreadsheetml/2006/main">
  <c r="M33" i="2" l="1"/>
  <c r="M27" i="2"/>
  <c r="M11" i="2"/>
  <c r="M5" i="2"/>
  <c r="L33" i="2"/>
  <c r="L27" i="2"/>
  <c r="L11" i="2"/>
  <c r="L5" i="2"/>
  <c r="H33" i="2"/>
  <c r="I33" i="2" s="1"/>
  <c r="H27" i="2"/>
  <c r="I27" i="2" s="1"/>
  <c r="H11" i="2"/>
  <c r="I11" i="2" s="1"/>
  <c r="H5" i="2"/>
  <c r="I5" i="2" s="1"/>
  <c r="K33" i="2"/>
  <c r="K27" i="2"/>
  <c r="K11" i="2"/>
  <c r="K5" i="2"/>
  <c r="G33" i="2"/>
  <c r="G27" i="2"/>
  <c r="G11" i="2"/>
  <c r="G5" i="2"/>
  <c r="F10" i="1" l="1"/>
  <c r="F30" i="1"/>
</calcChain>
</file>

<file path=xl/sharedStrings.xml><?xml version="1.0" encoding="utf-8"?>
<sst xmlns="http://schemas.openxmlformats.org/spreadsheetml/2006/main" count="1290" uniqueCount="266">
  <si>
    <t>sequ</t>
  </si>
  <si>
    <t>V21</t>
  </si>
  <si>
    <t>V20</t>
  </si>
  <si>
    <t>V19</t>
  </si>
  <si>
    <t>V18</t>
  </si>
  <si>
    <t>V17</t>
  </si>
  <si>
    <t>V16</t>
  </si>
  <si>
    <t>V15</t>
  </si>
  <si>
    <t>V14</t>
  </si>
  <si>
    <t>V13</t>
  </si>
  <si>
    <t>V12</t>
  </si>
  <si>
    <t>V11</t>
  </si>
  <si>
    <t>V10</t>
  </si>
  <si>
    <t>V9</t>
  </si>
  <si>
    <t>V8</t>
  </si>
  <si>
    <t>V7</t>
  </si>
  <si>
    <t>V6</t>
  </si>
  <si>
    <t>V5</t>
  </si>
  <si>
    <t>V4</t>
  </si>
  <si>
    <t>V3</t>
  </si>
  <si>
    <t>V2</t>
  </si>
  <si>
    <t>V1</t>
  </si>
  <si>
    <t>sum</t>
  </si>
  <si>
    <t>GTCGGTAAAACTCGTGCCAGC</t>
  </si>
  <si>
    <t>GCCGGTAAAACTCGTGCCAGC</t>
  </si>
  <si>
    <t>CCGGTCAAGACTCGTGCCAGC</t>
  </si>
  <si>
    <t>GCCGGTAAAATTCGTGCCAGC</t>
  </si>
  <si>
    <t>GTCGGTAAAATTCGTGCCAGC</t>
  </si>
  <si>
    <t>GCCGGTAAATCTCGTGCCAGC</t>
  </si>
  <si>
    <t>GTCGGTAAATCTCGTGCCAGC</t>
  </si>
  <si>
    <t>NA</t>
  </si>
  <si>
    <t>GCCGGCTAACCCGGTGCCAGC</t>
  </si>
  <si>
    <t>GCCGGCAAATATGGTGCCAGC</t>
  </si>
  <si>
    <t>GTTGGTAAATCTCGTGCCAGC</t>
  </si>
  <si>
    <t>GTTGGTCAATTTCGTGCCAGC</t>
  </si>
  <si>
    <t>GCTGGTAAATCTTGTGCCAGC</t>
  </si>
  <si>
    <t>GTTGGTAAATCTTGTGCCAGC</t>
  </si>
  <si>
    <t>GGTGGTAAATCCTGTGCCAGC</t>
  </si>
  <si>
    <t>GTCGGTAAATCTTGTGCCAGC</t>
  </si>
  <si>
    <t>GTTGGTTAATCTTGTGCCAGC</t>
  </si>
  <si>
    <t>GTCGGTAAATCCTGTGCCAGC</t>
  </si>
  <si>
    <t>GTTGGTAAATTTCGTGCCAGC</t>
  </si>
  <si>
    <t>GCCGGTAAATCCTGTGCCAGC</t>
  </si>
  <si>
    <t>GTTGGTAAATCCTGTGCCAGC</t>
  </si>
  <si>
    <t>GCCGGTTAAACTCGTGCCAGC</t>
  </si>
  <si>
    <t>GTTGGTTAATTTCGTGCCAGC</t>
  </si>
  <si>
    <t>GCCGGCAAATCTGGTGCCAGC</t>
  </si>
  <si>
    <t>V25</t>
  </si>
  <si>
    <t>V24</t>
  </si>
  <si>
    <t>V23</t>
  </si>
  <si>
    <t>V22</t>
  </si>
  <si>
    <t>CAAACTGGGATTAGATACCCCACTA</t>
  </si>
  <si>
    <t>CAAACTAGGATTAGATACCCTACTA</t>
  </si>
  <si>
    <t>CAACCCGGGATTAGATACCCCATTA</t>
  </si>
  <si>
    <t>MiFish F</t>
  </si>
  <si>
    <t>MiFish R</t>
  </si>
  <si>
    <t>Amphibia</t>
  </si>
  <si>
    <t>Osteichthyes</t>
  </si>
  <si>
    <t>Mammalia</t>
  </si>
  <si>
    <t>Aves</t>
  </si>
  <si>
    <t>Cryptobranchidae</t>
  </si>
  <si>
    <t>Plethodtidae</t>
  </si>
  <si>
    <t>Cryptobranchus</t>
  </si>
  <si>
    <t>Cryptobranchus alleganiensis</t>
  </si>
  <si>
    <t>Euryce</t>
  </si>
  <si>
    <t>Euryce wilderae</t>
  </si>
  <si>
    <t>Pseudotriton</t>
  </si>
  <si>
    <t>Pseudotriton ruber</t>
  </si>
  <si>
    <t>Gyrinophilus</t>
  </si>
  <si>
    <t>Gyrinophilus porphyriticus</t>
  </si>
  <si>
    <t>Rana</t>
  </si>
  <si>
    <t>Rana catesbeiana</t>
  </si>
  <si>
    <t>Hyla</t>
  </si>
  <si>
    <t>Hyla chrysoscelis</t>
  </si>
  <si>
    <t>Pseudacris</t>
  </si>
  <si>
    <t>Pseudacris crucifer</t>
  </si>
  <si>
    <t>Fulica</t>
  </si>
  <si>
    <t>Ardea</t>
  </si>
  <si>
    <t>Ardea cinerea</t>
  </si>
  <si>
    <t>Vireo</t>
  </si>
  <si>
    <t>Vireo olivaceus</t>
  </si>
  <si>
    <t>Aix</t>
  </si>
  <si>
    <t>Sphyrapicus</t>
  </si>
  <si>
    <t>Sphyrapicus varius</t>
  </si>
  <si>
    <t>Corvus</t>
  </si>
  <si>
    <t>Corvus brachyrhynchos</t>
  </si>
  <si>
    <t>Bombycilla</t>
  </si>
  <si>
    <t>Bombycilla cedrorum</t>
  </si>
  <si>
    <t>Anas</t>
  </si>
  <si>
    <t>Anas platyrhynchos</t>
  </si>
  <si>
    <t>Gallinago</t>
  </si>
  <si>
    <t>Gallinago delicata</t>
  </si>
  <si>
    <t>Troglodytes</t>
  </si>
  <si>
    <t>Troglodytes troglodytes</t>
  </si>
  <si>
    <t>Spinus</t>
  </si>
  <si>
    <t>Spinus tristis</t>
  </si>
  <si>
    <t>Sayornis</t>
  </si>
  <si>
    <t>Sayornis phoebe</t>
  </si>
  <si>
    <t>Haemorhous</t>
  </si>
  <si>
    <t>Haemorhous mexicanus</t>
  </si>
  <si>
    <t>Certhia</t>
  </si>
  <si>
    <t>Certhia americana</t>
  </si>
  <si>
    <t>Buteo</t>
  </si>
  <si>
    <t>Buteo platypterus</t>
  </si>
  <si>
    <t>Junco</t>
  </si>
  <si>
    <t>Junco hyemalis</t>
  </si>
  <si>
    <t>Bos</t>
  </si>
  <si>
    <t>Hominidae</t>
  </si>
  <si>
    <t>Homo</t>
  </si>
  <si>
    <t>Homo sapiens</t>
  </si>
  <si>
    <t>Procyon</t>
  </si>
  <si>
    <t>Procyon lotor</t>
  </si>
  <si>
    <t>Peromyscus</t>
  </si>
  <si>
    <t>Peromyscus leucopus</t>
  </si>
  <si>
    <t>Ondatra</t>
  </si>
  <si>
    <t>Ondatra zibethicus</t>
  </si>
  <si>
    <t>Anaxyrus</t>
  </si>
  <si>
    <t>Anaxyrus woodhousii</t>
  </si>
  <si>
    <t>Napaeozapus</t>
  </si>
  <si>
    <t>Napaeozapus insignis</t>
  </si>
  <si>
    <t>Atherinopsidae</t>
  </si>
  <si>
    <t>Labidesthes</t>
  </si>
  <si>
    <t>Labidesthes sicculus</t>
  </si>
  <si>
    <t>Catostomidae</t>
  </si>
  <si>
    <t>Catostomus</t>
  </si>
  <si>
    <t>Catostomus commersonii</t>
  </si>
  <si>
    <t>Hypentelium</t>
  </si>
  <si>
    <t>Hypentelium nigricans</t>
  </si>
  <si>
    <t>Moxostoma</t>
  </si>
  <si>
    <t>Moxostoma erythrurum</t>
  </si>
  <si>
    <t>Moxostoma carinatum</t>
  </si>
  <si>
    <t>Moxostoma duquesnei</t>
  </si>
  <si>
    <t>Moxostoma macrolepidotum</t>
  </si>
  <si>
    <t>Ictiobus</t>
  </si>
  <si>
    <t>Ictiobus bubalus</t>
  </si>
  <si>
    <t>Centrarchidae</t>
  </si>
  <si>
    <t>Lepomis</t>
  </si>
  <si>
    <t>Lepomis auritus</t>
  </si>
  <si>
    <t>Lepomis cyanellus</t>
  </si>
  <si>
    <t>Micropterus</t>
  </si>
  <si>
    <t>Micropterus salmoides</t>
  </si>
  <si>
    <t>Micropterus punctulatus</t>
  </si>
  <si>
    <t>Lepomis macrochirus</t>
  </si>
  <si>
    <t>Micropterus dolomieu</t>
  </si>
  <si>
    <t>Lepomis megalotis</t>
  </si>
  <si>
    <t>Nocomis</t>
  </si>
  <si>
    <t>Nocomis micropogon</t>
  </si>
  <si>
    <t>Ambloplites</t>
  </si>
  <si>
    <t>Ambloplites rupestris</t>
  </si>
  <si>
    <t>Clupeidae</t>
  </si>
  <si>
    <t>Dorosoma</t>
  </si>
  <si>
    <t>Dorosoma cepedianum</t>
  </si>
  <si>
    <t>Alosa</t>
  </si>
  <si>
    <t>Alosa chrysochloris</t>
  </si>
  <si>
    <t>Cottidae</t>
  </si>
  <si>
    <t>Cottus</t>
  </si>
  <si>
    <t>Cottus bairdii</t>
  </si>
  <si>
    <t>Cottus carolinae</t>
  </si>
  <si>
    <t>Cyprinidae</t>
  </si>
  <si>
    <t>Campostoma</t>
  </si>
  <si>
    <t>Campostoma anomalum</t>
  </si>
  <si>
    <t>Hybopsis</t>
  </si>
  <si>
    <t>Hybopsis amplops</t>
  </si>
  <si>
    <t>Luxilus</t>
  </si>
  <si>
    <t>Luxilus chrysocephalus</t>
  </si>
  <si>
    <t>Nocomis leptocephalus</t>
  </si>
  <si>
    <t>Notropis</t>
  </si>
  <si>
    <t>Notropis rubellus</t>
  </si>
  <si>
    <t>Notropis telescopus</t>
  </si>
  <si>
    <t>Rhinichthys</t>
  </si>
  <si>
    <t>Rhinichthys atratulus</t>
  </si>
  <si>
    <t>Rhinichthys cataractae</t>
  </si>
  <si>
    <t>Fish</t>
  </si>
  <si>
    <t>Cyprinella</t>
  </si>
  <si>
    <t>Cyprinella galactura</t>
  </si>
  <si>
    <t>Semotilus</t>
  </si>
  <si>
    <t>Semotilus atromaculatus</t>
  </si>
  <si>
    <t>Notropis atherinoides</t>
  </si>
  <si>
    <t>Clinostomus</t>
  </si>
  <si>
    <t>Clinostomus funduloides</t>
  </si>
  <si>
    <t>Hemitremia</t>
  </si>
  <si>
    <t>Hemitremia flammea</t>
  </si>
  <si>
    <t>Pimephales</t>
  </si>
  <si>
    <t>Pimephales promelas</t>
  </si>
  <si>
    <t>Pimephales notatus</t>
  </si>
  <si>
    <t>Fundulidae</t>
  </si>
  <si>
    <t>Fundulus</t>
  </si>
  <si>
    <t>Fundulus catenatus</t>
  </si>
  <si>
    <t>Ictaluridae</t>
  </si>
  <si>
    <t>Ameiurus</t>
  </si>
  <si>
    <t>Ameiurus natalis</t>
  </si>
  <si>
    <t>Pylodictis</t>
  </si>
  <si>
    <t>Pylodictis olivaris</t>
  </si>
  <si>
    <t>Noturus</t>
  </si>
  <si>
    <t>Noturus baileyi</t>
  </si>
  <si>
    <t>Moronidae</t>
  </si>
  <si>
    <t>Morone</t>
  </si>
  <si>
    <t>Morone chrysops</t>
  </si>
  <si>
    <t>Percidae</t>
  </si>
  <si>
    <t>Percina</t>
  </si>
  <si>
    <t>Percina aurantiaca</t>
  </si>
  <si>
    <t>Percina evides</t>
  </si>
  <si>
    <t>Percina caprodes</t>
  </si>
  <si>
    <t>Etheostoma</t>
  </si>
  <si>
    <t>Etheostoma blenniodes</t>
  </si>
  <si>
    <t>Etheostoma rufilineatum</t>
  </si>
  <si>
    <t>Etheostoma flabellare</t>
  </si>
  <si>
    <t>Etheostoma zonale</t>
  </si>
  <si>
    <t>Sander</t>
  </si>
  <si>
    <t>Sander vitreus</t>
  </si>
  <si>
    <t>Salmonidae</t>
  </si>
  <si>
    <t>Oncorhynchus</t>
  </si>
  <si>
    <t>Oncorhynchus mykiss</t>
  </si>
  <si>
    <t>Oncorhynchus mykissnelsoni</t>
  </si>
  <si>
    <t>Salmo</t>
  </si>
  <si>
    <t>Salmo trutta</t>
  </si>
  <si>
    <t>Salvelinus</t>
  </si>
  <si>
    <t>Salvelinus fontinalis</t>
  </si>
  <si>
    <t>Salvelinus alpinusisolate</t>
  </si>
  <si>
    <t>Erimonax</t>
  </si>
  <si>
    <t>Erimonax monachus</t>
  </si>
  <si>
    <t>Etheostoma camurum</t>
  </si>
  <si>
    <t>Cypriniade</t>
  </si>
  <si>
    <t>Lythrurus</t>
  </si>
  <si>
    <t>Lythrurus umbratilis</t>
  </si>
  <si>
    <t>Centrachidae</t>
  </si>
  <si>
    <t>Lepomis machrochirus</t>
  </si>
  <si>
    <t>Hybognathus</t>
  </si>
  <si>
    <t>Hybognathus nuchalis</t>
  </si>
  <si>
    <t>Hybopsis amblops</t>
  </si>
  <si>
    <t>Rhinichthyes</t>
  </si>
  <si>
    <t>Rhinichthyes atratulus</t>
  </si>
  <si>
    <t>Catostomide</t>
  </si>
  <si>
    <t>Notropis sabinae</t>
  </si>
  <si>
    <t>Fulica americana</t>
  </si>
  <si>
    <t>Rallidae</t>
  </si>
  <si>
    <t>Ardeidae</t>
  </si>
  <si>
    <t>Vireonidae</t>
  </si>
  <si>
    <t>Aix sponsa</t>
  </si>
  <si>
    <t>Anatidae</t>
  </si>
  <si>
    <t>Picidae</t>
  </si>
  <si>
    <t>Corvidae</t>
  </si>
  <si>
    <t>Bombycillidae</t>
  </si>
  <si>
    <t>Scolopacidae</t>
  </si>
  <si>
    <t>Troglodytidae</t>
  </si>
  <si>
    <t>Fringillidae</t>
  </si>
  <si>
    <t>Tyrannidae</t>
  </si>
  <si>
    <t>Certhiidae</t>
  </si>
  <si>
    <t>Accipitridae</t>
  </si>
  <si>
    <t>Passerellidae</t>
  </si>
  <si>
    <t>Dipodidae</t>
  </si>
  <si>
    <t>Bufonidae</t>
  </si>
  <si>
    <t>Cricetidae</t>
  </si>
  <si>
    <t>Procyonidae</t>
  </si>
  <si>
    <t>Bos taurus</t>
  </si>
  <si>
    <t>Bovidae</t>
  </si>
  <si>
    <t>Hylidae</t>
  </si>
  <si>
    <t>Ranidae</t>
  </si>
  <si>
    <t>Sequence</t>
  </si>
  <si>
    <t>Class</t>
  </si>
  <si>
    <t>Family</t>
  </si>
  <si>
    <t>Genus</t>
  </si>
  <si>
    <t>Species</t>
  </si>
  <si>
    <t>Class mean</t>
  </si>
  <si>
    <t># above 120</t>
  </si>
  <si>
    <t>% above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</si>
</sst>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6" fillId="33" borderId="11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D9EF-D2E1-44B2-8D13-00D19AE63281}">
  <dimension ref="B2:BK93"/>
  <sheetViews>
    <sheetView tabSelected="1" topLeftCell="E1" zoomScale="80" zoomScaleNormal="80" workbookViewId="0">
      <selection activeCell="M19" sqref="M19"/>
    </sheetView>
  </sheetViews>
  <sheetFormatPr defaultRowHeight="14.4" x14ac:dyDescent="0.3"/>
  <cols>
    <col min="1" max="1" width="8.88671875" style="2"/>
    <col min="2" max="4" width="19.5546875" style="1" customWidth="1"/>
    <col min="5" max="5" width="29.44140625" style="1" customWidth="1"/>
    <col min="6" max="9" width="15.5546875" style="1" customWidth="1"/>
    <col min="10" max="13" width="14.88671875" style="1" customWidth="1"/>
    <col min="14" max="14" width="12.5546875" style="15" customWidth="1"/>
    <col min="15" max="63" width="8.88671875" style="1"/>
    <col min="64" max="16384" width="8.88671875" style="2"/>
  </cols>
  <sheetData>
    <row r="2" spans="2:63" x14ac:dyDescent="0.3">
      <c r="N2" s="17" t="s">
        <v>54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 t="s">
        <v>55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</row>
    <row r="3" spans="2:63" x14ac:dyDescent="0.3">
      <c r="F3" s="9" t="s">
        <v>54</v>
      </c>
      <c r="G3" s="10"/>
      <c r="H3" s="10"/>
      <c r="I3" s="10"/>
      <c r="J3" s="9" t="s">
        <v>55</v>
      </c>
      <c r="K3" s="10"/>
      <c r="L3" s="10"/>
      <c r="M3" s="10"/>
      <c r="N3" s="14" t="s">
        <v>258</v>
      </c>
      <c r="O3" s="3" t="s">
        <v>1</v>
      </c>
      <c r="P3" s="3" t="s">
        <v>2</v>
      </c>
      <c r="Q3" s="3" t="s">
        <v>3</v>
      </c>
      <c r="R3" s="3" t="s">
        <v>4</v>
      </c>
      <c r="S3" s="3" t="s">
        <v>5</v>
      </c>
      <c r="T3" s="3" t="s">
        <v>6</v>
      </c>
      <c r="U3" s="3" t="s">
        <v>7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13</v>
      </c>
      <c r="AB3" s="3" t="s">
        <v>14</v>
      </c>
      <c r="AC3" s="3" t="s">
        <v>15</v>
      </c>
      <c r="AD3" s="3" t="s">
        <v>16</v>
      </c>
      <c r="AE3" s="3" t="s">
        <v>17</v>
      </c>
      <c r="AF3" s="3" t="s">
        <v>18</v>
      </c>
      <c r="AG3" s="3" t="s">
        <v>19</v>
      </c>
      <c r="AH3" s="3" t="s">
        <v>20</v>
      </c>
      <c r="AI3" s="3" t="s">
        <v>21</v>
      </c>
      <c r="AJ3" s="7" t="s">
        <v>22</v>
      </c>
      <c r="AK3" s="3" t="s">
        <v>0</v>
      </c>
      <c r="AL3" s="3" t="s">
        <v>47</v>
      </c>
      <c r="AM3" s="3" t="s">
        <v>48</v>
      </c>
      <c r="AN3" s="3" t="s">
        <v>49</v>
      </c>
      <c r="AO3" s="3" t="s">
        <v>50</v>
      </c>
      <c r="AP3" s="3" t="s">
        <v>1</v>
      </c>
      <c r="AQ3" s="3" t="s">
        <v>2</v>
      </c>
      <c r="AR3" s="3" t="s">
        <v>3</v>
      </c>
      <c r="AS3" s="3" t="s">
        <v>4</v>
      </c>
      <c r="AT3" s="3" t="s">
        <v>5</v>
      </c>
      <c r="AU3" s="3" t="s">
        <v>6</v>
      </c>
      <c r="AV3" s="3" t="s">
        <v>7</v>
      </c>
      <c r="AW3" s="3" t="s">
        <v>8</v>
      </c>
      <c r="AX3" s="3" t="s">
        <v>9</v>
      </c>
      <c r="AY3" s="3" t="s">
        <v>10</v>
      </c>
      <c r="AZ3" s="3" t="s">
        <v>11</v>
      </c>
      <c r="BA3" s="3" t="s">
        <v>12</v>
      </c>
      <c r="BB3" s="3" t="s">
        <v>13</v>
      </c>
      <c r="BC3" s="3" t="s">
        <v>14</v>
      </c>
      <c r="BD3" s="3" t="s">
        <v>15</v>
      </c>
      <c r="BE3" s="3" t="s">
        <v>16</v>
      </c>
      <c r="BF3" s="3" t="s">
        <v>17</v>
      </c>
      <c r="BG3" s="3" t="s">
        <v>18</v>
      </c>
      <c r="BH3" s="3" t="s">
        <v>19</v>
      </c>
      <c r="BI3" s="3" t="s">
        <v>20</v>
      </c>
      <c r="BJ3" s="3" t="s">
        <v>21</v>
      </c>
      <c r="BK3" s="7" t="s">
        <v>22</v>
      </c>
    </row>
    <row r="4" spans="2:63" x14ac:dyDescent="0.3">
      <c r="B4" s="9" t="s">
        <v>259</v>
      </c>
      <c r="C4" s="9" t="s">
        <v>260</v>
      </c>
      <c r="D4" s="9" t="s">
        <v>261</v>
      </c>
      <c r="E4" s="16" t="s">
        <v>262</v>
      </c>
      <c r="F4" s="9" t="s">
        <v>22</v>
      </c>
      <c r="G4" s="10" t="s">
        <v>263</v>
      </c>
      <c r="H4" s="10" t="s">
        <v>264</v>
      </c>
      <c r="I4" s="10" t="s">
        <v>265</v>
      </c>
      <c r="J4" s="9" t="s">
        <v>22</v>
      </c>
      <c r="K4" s="10" t="s">
        <v>263</v>
      </c>
      <c r="L4" s="10" t="s">
        <v>264</v>
      </c>
      <c r="M4" s="10" t="s">
        <v>265</v>
      </c>
      <c r="N4" s="14" t="s">
        <v>23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 t="s">
        <v>51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</row>
    <row r="5" spans="2:63" x14ac:dyDescent="0.3">
      <c r="B5" s="3" t="s">
        <v>56</v>
      </c>
      <c r="C5" s="3" t="s">
        <v>60</v>
      </c>
      <c r="D5" s="3" t="s">
        <v>62</v>
      </c>
      <c r="E5" s="13" t="s">
        <v>63</v>
      </c>
      <c r="F5" s="3">
        <v>73.8</v>
      </c>
      <c r="G5" s="3">
        <f>AVERAGE(F5:F10)</f>
        <v>215.89999999999998</v>
      </c>
      <c r="H5" s="3">
        <f>COUNTIF(F5:F10,"&gt;120")</f>
        <v>3</v>
      </c>
      <c r="I5" s="3">
        <f>H5/6</f>
        <v>0.5</v>
      </c>
      <c r="J5" s="3">
        <v>66.7</v>
      </c>
      <c r="K5" s="3">
        <f>AVERAGE(J5:J10)</f>
        <v>11.116666666666667</v>
      </c>
      <c r="L5" s="3">
        <f>COUNTIF(J5:J10,"&gt;120")</f>
        <v>0</v>
      </c>
      <c r="M5" s="3">
        <f>L5/6</f>
        <v>0</v>
      </c>
      <c r="N5" s="14" t="s">
        <v>29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73.8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73.8</v>
      </c>
      <c r="AK5" s="3" t="s">
        <v>52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6.95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59.75</v>
      </c>
      <c r="BG5" s="3">
        <v>0</v>
      </c>
      <c r="BH5" s="3">
        <v>0</v>
      </c>
      <c r="BI5" s="3">
        <v>0</v>
      </c>
      <c r="BJ5" s="3">
        <v>0</v>
      </c>
      <c r="BK5" s="3">
        <v>66.7</v>
      </c>
    </row>
    <row r="6" spans="2:63" x14ac:dyDescent="0.3">
      <c r="B6" s="3" t="s">
        <v>56</v>
      </c>
      <c r="C6" s="11" t="s">
        <v>256</v>
      </c>
      <c r="D6" s="11" t="s">
        <v>72</v>
      </c>
      <c r="E6" s="12" t="s">
        <v>73</v>
      </c>
      <c r="F6" s="3">
        <v>371</v>
      </c>
      <c r="G6" s="3"/>
      <c r="H6" s="3"/>
      <c r="I6" s="3"/>
      <c r="J6" s="3">
        <v>0</v>
      </c>
      <c r="K6" s="3"/>
      <c r="L6" s="3"/>
      <c r="M6" s="3"/>
      <c r="N6" s="14" t="s">
        <v>32</v>
      </c>
      <c r="O6" s="3">
        <v>0</v>
      </c>
      <c r="P6" s="3">
        <v>6.2</v>
      </c>
      <c r="Q6" s="3">
        <v>0</v>
      </c>
      <c r="R6" s="3">
        <v>0</v>
      </c>
      <c r="S6" s="3">
        <v>0</v>
      </c>
      <c r="T6" s="3">
        <v>10.199999999999999</v>
      </c>
      <c r="U6" s="3">
        <v>0</v>
      </c>
      <c r="V6" s="3">
        <v>0</v>
      </c>
      <c r="W6" s="3">
        <v>0</v>
      </c>
      <c r="X6" s="3">
        <v>147.6</v>
      </c>
      <c r="Y6" s="3">
        <v>86.6</v>
      </c>
      <c r="Z6" s="3">
        <v>0</v>
      </c>
      <c r="AA6" s="3">
        <v>120.4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371</v>
      </c>
      <c r="AK6" s="3" t="s">
        <v>51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</row>
    <row r="7" spans="2:63" x14ac:dyDescent="0.3">
      <c r="B7" s="3" t="s">
        <v>56</v>
      </c>
      <c r="C7" s="11" t="s">
        <v>256</v>
      </c>
      <c r="D7" s="11" t="s">
        <v>74</v>
      </c>
      <c r="E7" s="12" t="s">
        <v>75</v>
      </c>
      <c r="F7" s="3">
        <v>210.6</v>
      </c>
      <c r="G7" s="3"/>
      <c r="H7" s="3"/>
      <c r="I7" s="3"/>
      <c r="J7" s="3">
        <v>0</v>
      </c>
      <c r="K7" s="3"/>
      <c r="L7" s="3"/>
      <c r="M7" s="3"/>
      <c r="N7" s="14" t="s">
        <v>46</v>
      </c>
      <c r="O7" s="3">
        <v>0</v>
      </c>
      <c r="P7" s="3">
        <v>6.2</v>
      </c>
      <c r="Q7" s="3">
        <v>0</v>
      </c>
      <c r="R7" s="3">
        <v>0</v>
      </c>
      <c r="S7" s="3">
        <v>0</v>
      </c>
      <c r="T7" s="3">
        <v>10.199999999999999</v>
      </c>
      <c r="U7" s="3">
        <v>0</v>
      </c>
      <c r="V7" s="3">
        <v>0</v>
      </c>
      <c r="W7" s="3">
        <v>0</v>
      </c>
      <c r="X7" s="3">
        <v>73.8</v>
      </c>
      <c r="Y7" s="3">
        <v>0</v>
      </c>
      <c r="Z7" s="3">
        <v>0</v>
      </c>
      <c r="AA7" s="3">
        <v>120.4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210.6</v>
      </c>
      <c r="AK7" s="3" t="s">
        <v>51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</row>
    <row r="8" spans="2:63" x14ac:dyDescent="0.3">
      <c r="B8" s="3" t="s">
        <v>56</v>
      </c>
      <c r="C8" s="3" t="s">
        <v>61</v>
      </c>
      <c r="D8" s="3" t="s">
        <v>64</v>
      </c>
      <c r="E8" s="13" t="s">
        <v>65</v>
      </c>
      <c r="F8" s="3">
        <v>73.8</v>
      </c>
      <c r="G8" s="3"/>
      <c r="H8" s="3"/>
      <c r="I8" s="3"/>
      <c r="J8" s="3">
        <v>0</v>
      </c>
      <c r="K8" s="3"/>
      <c r="L8" s="3"/>
      <c r="M8" s="3"/>
      <c r="N8" s="14" t="s">
        <v>29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73.8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73.8</v>
      </c>
      <c r="AK8" s="3" t="s">
        <v>51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</row>
    <row r="9" spans="2:63" x14ac:dyDescent="0.3">
      <c r="B9" s="3" t="s">
        <v>56</v>
      </c>
      <c r="C9" s="3" t="s">
        <v>61</v>
      </c>
      <c r="D9" s="3" t="s">
        <v>68</v>
      </c>
      <c r="E9" s="13" t="s">
        <v>69</v>
      </c>
      <c r="F9" s="3">
        <v>80</v>
      </c>
      <c r="G9" s="3"/>
      <c r="H9" s="3"/>
      <c r="I9" s="3"/>
      <c r="J9" s="3">
        <v>0</v>
      </c>
      <c r="K9" s="3"/>
      <c r="L9" s="3"/>
      <c r="M9" s="3"/>
      <c r="N9" s="14" t="s">
        <v>28</v>
      </c>
      <c r="O9" s="3">
        <v>0</v>
      </c>
      <c r="P9" s="3">
        <v>6.2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73.8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80</v>
      </c>
      <c r="AK9" s="3" t="s">
        <v>51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2:63" x14ac:dyDescent="0.3">
      <c r="B10" s="3" t="s">
        <v>56</v>
      </c>
      <c r="C10" s="11" t="s">
        <v>257</v>
      </c>
      <c r="D10" s="11" t="s">
        <v>70</v>
      </c>
      <c r="E10" s="12" t="s">
        <v>71</v>
      </c>
      <c r="F10" s="3">
        <v>486.2</v>
      </c>
      <c r="G10" s="3"/>
      <c r="H10" s="3"/>
      <c r="I10" s="3"/>
      <c r="J10" s="3">
        <v>0</v>
      </c>
      <c r="K10" s="3"/>
      <c r="L10" s="3"/>
      <c r="M10" s="3"/>
      <c r="N10" s="14" t="s">
        <v>31</v>
      </c>
      <c r="O10" s="3">
        <v>0</v>
      </c>
      <c r="P10" s="3">
        <v>6.2</v>
      </c>
      <c r="Q10" s="3">
        <v>0</v>
      </c>
      <c r="R10" s="3">
        <v>0</v>
      </c>
      <c r="S10" s="3">
        <v>0</v>
      </c>
      <c r="T10" s="3">
        <v>20.399999999999999</v>
      </c>
      <c r="U10" s="3">
        <v>94</v>
      </c>
      <c r="V10" s="3">
        <v>0</v>
      </c>
      <c r="W10" s="3">
        <v>0</v>
      </c>
      <c r="X10" s="3">
        <v>73.8</v>
      </c>
      <c r="Y10" s="3">
        <v>0</v>
      </c>
      <c r="Z10" s="3">
        <v>51</v>
      </c>
      <c r="AA10" s="3">
        <v>240.8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486.2</v>
      </c>
      <c r="AK10" s="3" t="s">
        <v>51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</row>
    <row r="11" spans="2:63" x14ac:dyDescent="0.3">
      <c r="B11" s="3" t="s">
        <v>59</v>
      </c>
      <c r="C11" s="3" t="s">
        <v>248</v>
      </c>
      <c r="D11" s="3" t="s">
        <v>102</v>
      </c>
      <c r="E11" s="13" t="s">
        <v>103</v>
      </c>
      <c r="F11" s="3">
        <v>110.85</v>
      </c>
      <c r="G11" s="3">
        <f>AVERAGE(F11:F26)</f>
        <v>158.16562499999998</v>
      </c>
      <c r="H11" s="3">
        <f>COUNTIF(F11:F26,"&gt;120")</f>
        <v>10</v>
      </c>
      <c r="I11" s="3">
        <f>H11/16</f>
        <v>0.625</v>
      </c>
      <c r="J11" s="3">
        <v>0</v>
      </c>
      <c r="K11" s="3">
        <f>AVERAGE(J11:J26)</f>
        <v>0</v>
      </c>
      <c r="L11" s="3">
        <f>COUNTIF(J11:J26,"&gt;120")</f>
        <v>0</v>
      </c>
      <c r="M11" s="3">
        <f>L11/16</f>
        <v>0</v>
      </c>
      <c r="N11" s="14" t="s">
        <v>36</v>
      </c>
      <c r="O11" s="3">
        <v>0</v>
      </c>
      <c r="P11" s="3">
        <v>0</v>
      </c>
      <c r="Q11" s="3">
        <v>6.95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73.8</v>
      </c>
      <c r="Y11" s="3">
        <v>0</v>
      </c>
      <c r="Z11" s="3">
        <v>0</v>
      </c>
      <c r="AA11" s="3">
        <v>30.1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110.85</v>
      </c>
      <c r="AK11" s="3" t="s">
        <v>51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2:63" x14ac:dyDescent="0.3">
      <c r="B12" s="3" t="s">
        <v>59</v>
      </c>
      <c r="C12" s="3" t="s">
        <v>239</v>
      </c>
      <c r="D12" s="3" t="s">
        <v>81</v>
      </c>
      <c r="E12" s="13" t="s">
        <v>238</v>
      </c>
      <c r="F12" s="3">
        <v>103.9</v>
      </c>
      <c r="G12" s="3"/>
      <c r="H12" s="3"/>
      <c r="I12" s="3"/>
      <c r="J12" s="3">
        <v>0</v>
      </c>
      <c r="K12" s="3"/>
      <c r="L12" s="3"/>
      <c r="M12" s="3"/>
      <c r="N12" s="14" t="s">
        <v>38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73.8</v>
      </c>
      <c r="Y12" s="3">
        <v>0</v>
      </c>
      <c r="Z12" s="3">
        <v>0</v>
      </c>
      <c r="AA12" s="3">
        <v>30.1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103.9</v>
      </c>
      <c r="AK12" s="3" t="s">
        <v>51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</row>
    <row r="13" spans="2:63" x14ac:dyDescent="0.3">
      <c r="B13" s="3" t="s">
        <v>59</v>
      </c>
      <c r="C13" s="3" t="s">
        <v>239</v>
      </c>
      <c r="D13" s="3" t="s">
        <v>88</v>
      </c>
      <c r="E13" s="13" t="s">
        <v>89</v>
      </c>
      <c r="F13" s="3">
        <v>103.9</v>
      </c>
      <c r="G13" s="3"/>
      <c r="H13" s="3"/>
      <c r="I13" s="3"/>
      <c r="J13" s="3">
        <v>0</v>
      </c>
      <c r="K13" s="3"/>
      <c r="L13" s="3"/>
      <c r="M13" s="3"/>
      <c r="N13" s="14" t="s">
        <v>38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73.8</v>
      </c>
      <c r="Y13" s="3">
        <v>0</v>
      </c>
      <c r="Z13" s="3">
        <v>0</v>
      </c>
      <c r="AA13" s="3">
        <v>30.1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103.9</v>
      </c>
      <c r="AK13" s="3" t="s">
        <v>51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</row>
    <row r="14" spans="2:63" x14ac:dyDescent="0.3">
      <c r="B14" s="3" t="s">
        <v>59</v>
      </c>
      <c r="C14" s="3" t="s">
        <v>236</v>
      </c>
      <c r="D14" s="3" t="s">
        <v>77</v>
      </c>
      <c r="E14" s="13" t="s">
        <v>78</v>
      </c>
      <c r="F14" s="3">
        <v>110.85</v>
      </c>
      <c r="G14" s="3"/>
      <c r="H14" s="3"/>
      <c r="I14" s="3"/>
      <c r="J14" s="3">
        <v>0</v>
      </c>
      <c r="K14" s="3"/>
      <c r="L14" s="3"/>
      <c r="M14" s="3"/>
      <c r="N14" s="14" t="s">
        <v>36</v>
      </c>
      <c r="O14" s="3">
        <v>0</v>
      </c>
      <c r="P14" s="3">
        <v>0</v>
      </c>
      <c r="Q14" s="3">
        <v>6.95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73.8</v>
      </c>
      <c r="Y14" s="3">
        <v>0</v>
      </c>
      <c r="Z14" s="3">
        <v>0</v>
      </c>
      <c r="AA14" s="3">
        <v>30.1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110.85</v>
      </c>
      <c r="AK14" s="3" t="s">
        <v>51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</row>
    <row r="15" spans="2:63" x14ac:dyDescent="0.3">
      <c r="B15" s="3" t="s">
        <v>59</v>
      </c>
      <c r="C15" s="3" t="s">
        <v>242</v>
      </c>
      <c r="D15" s="3" t="s">
        <v>86</v>
      </c>
      <c r="E15" s="13" t="s">
        <v>87</v>
      </c>
      <c r="F15" s="3">
        <v>223.7</v>
      </c>
      <c r="G15" s="3"/>
      <c r="H15" s="3"/>
      <c r="I15" s="3"/>
      <c r="J15" s="3">
        <v>0</v>
      </c>
      <c r="K15" s="3"/>
      <c r="L15" s="3"/>
      <c r="M15" s="3"/>
      <c r="N15" s="14" t="s">
        <v>37</v>
      </c>
      <c r="O15" s="3">
        <v>0</v>
      </c>
      <c r="P15" s="3">
        <v>24.8</v>
      </c>
      <c r="Q15" s="3">
        <v>13.9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73.8</v>
      </c>
      <c r="Y15" s="3">
        <v>0</v>
      </c>
      <c r="Z15" s="3">
        <v>51</v>
      </c>
      <c r="AA15" s="3">
        <v>60.2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223.7</v>
      </c>
      <c r="AK15" s="3" t="s">
        <v>51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2:63" x14ac:dyDescent="0.3">
      <c r="B16" s="3" t="s">
        <v>59</v>
      </c>
      <c r="C16" s="3" t="s">
        <v>247</v>
      </c>
      <c r="D16" s="3" t="s">
        <v>100</v>
      </c>
      <c r="E16" s="13" t="s">
        <v>101</v>
      </c>
      <c r="F16" s="3">
        <v>191.95</v>
      </c>
      <c r="G16" s="3"/>
      <c r="H16" s="3"/>
      <c r="I16" s="3"/>
      <c r="J16" s="3">
        <v>0</v>
      </c>
      <c r="K16" s="3"/>
      <c r="L16" s="3"/>
      <c r="M16" s="3"/>
      <c r="N16" s="14" t="s">
        <v>43</v>
      </c>
      <c r="O16" s="3">
        <v>0</v>
      </c>
      <c r="P16" s="3">
        <v>0</v>
      </c>
      <c r="Q16" s="3">
        <v>6.95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73.8</v>
      </c>
      <c r="Y16" s="3">
        <v>0</v>
      </c>
      <c r="Z16" s="3">
        <v>51</v>
      </c>
      <c r="AA16" s="3">
        <v>60.2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191.95</v>
      </c>
      <c r="AK16" s="3" t="s">
        <v>51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</row>
    <row r="17" spans="2:63" x14ac:dyDescent="0.3">
      <c r="B17" s="3" t="s">
        <v>59</v>
      </c>
      <c r="C17" s="3" t="s">
        <v>241</v>
      </c>
      <c r="D17" s="3" t="s">
        <v>84</v>
      </c>
      <c r="E17" s="13" t="s">
        <v>85</v>
      </c>
      <c r="F17" s="3">
        <v>185</v>
      </c>
      <c r="G17" s="3"/>
      <c r="H17" s="3"/>
      <c r="I17" s="3"/>
      <c r="J17" s="3">
        <v>0</v>
      </c>
      <c r="K17" s="3"/>
      <c r="L17" s="3"/>
      <c r="M17" s="3"/>
      <c r="N17" s="14" t="s">
        <v>40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73.8</v>
      </c>
      <c r="Y17" s="3">
        <v>0</v>
      </c>
      <c r="Z17" s="3">
        <v>51</v>
      </c>
      <c r="AA17" s="3">
        <v>60.2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185</v>
      </c>
      <c r="AK17" s="3" t="s">
        <v>51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2:63" x14ac:dyDescent="0.3">
      <c r="B18" s="3" t="s">
        <v>59</v>
      </c>
      <c r="C18" s="3" t="s">
        <v>245</v>
      </c>
      <c r="D18" s="3" t="s">
        <v>98</v>
      </c>
      <c r="E18" s="13" t="s">
        <v>99</v>
      </c>
      <c r="F18" s="3">
        <v>191.95</v>
      </c>
      <c r="G18" s="3"/>
      <c r="H18" s="3"/>
      <c r="I18" s="3"/>
      <c r="J18" s="3">
        <v>0</v>
      </c>
      <c r="K18" s="3"/>
      <c r="L18" s="3"/>
      <c r="M18" s="3"/>
      <c r="N18" s="14" t="s">
        <v>43</v>
      </c>
      <c r="O18" s="3">
        <v>0</v>
      </c>
      <c r="P18" s="3">
        <v>0</v>
      </c>
      <c r="Q18" s="3">
        <v>6.95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73.8</v>
      </c>
      <c r="Y18" s="3">
        <v>0</v>
      </c>
      <c r="Z18" s="3">
        <v>51</v>
      </c>
      <c r="AA18" s="3">
        <v>60.2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191.95</v>
      </c>
      <c r="AK18" s="3" t="s">
        <v>51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</row>
    <row r="19" spans="2:63" x14ac:dyDescent="0.3">
      <c r="B19" s="3" t="s">
        <v>59</v>
      </c>
      <c r="C19" s="3" t="s">
        <v>245</v>
      </c>
      <c r="D19" s="3" t="s">
        <v>94</v>
      </c>
      <c r="E19" s="13" t="s">
        <v>95</v>
      </c>
      <c r="F19" s="3">
        <v>191.95</v>
      </c>
      <c r="G19" s="3"/>
      <c r="H19" s="3"/>
      <c r="I19" s="3"/>
      <c r="J19" s="3">
        <v>0</v>
      </c>
      <c r="K19" s="3"/>
      <c r="L19" s="3"/>
      <c r="M19" s="3"/>
      <c r="N19" s="14" t="s">
        <v>43</v>
      </c>
      <c r="O19" s="3">
        <v>0</v>
      </c>
      <c r="P19" s="3">
        <v>0</v>
      </c>
      <c r="Q19" s="3">
        <v>6.95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73.8</v>
      </c>
      <c r="Y19" s="3">
        <v>0</v>
      </c>
      <c r="Z19" s="3">
        <v>51</v>
      </c>
      <c r="AA19" s="3">
        <v>60.2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191.95</v>
      </c>
      <c r="AK19" s="3" t="s">
        <v>51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</row>
    <row r="20" spans="2:63" x14ac:dyDescent="0.3">
      <c r="B20" s="3" t="s">
        <v>59</v>
      </c>
      <c r="C20" s="3" t="s">
        <v>249</v>
      </c>
      <c r="D20" s="3" t="s">
        <v>104</v>
      </c>
      <c r="E20" s="13" t="s">
        <v>105</v>
      </c>
      <c r="F20" s="3">
        <v>191.95</v>
      </c>
      <c r="G20" s="3"/>
      <c r="H20" s="3"/>
      <c r="I20" s="3"/>
      <c r="J20" s="3">
        <v>0</v>
      </c>
      <c r="K20" s="3"/>
      <c r="L20" s="3"/>
      <c r="M20" s="3"/>
      <c r="N20" s="14" t="s">
        <v>43</v>
      </c>
      <c r="O20" s="3">
        <v>0</v>
      </c>
      <c r="P20" s="3">
        <v>0</v>
      </c>
      <c r="Q20" s="3">
        <v>6.95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73.8</v>
      </c>
      <c r="Y20" s="3">
        <v>0</v>
      </c>
      <c r="Z20" s="3">
        <v>51</v>
      </c>
      <c r="AA20" s="3">
        <v>60.2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191.95</v>
      </c>
      <c r="AK20" s="3" t="s">
        <v>51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</row>
    <row r="21" spans="2:63" x14ac:dyDescent="0.3">
      <c r="B21" s="3" t="s">
        <v>59</v>
      </c>
      <c r="C21" s="3" t="s">
        <v>240</v>
      </c>
      <c r="D21" s="3" t="s">
        <v>82</v>
      </c>
      <c r="E21" s="13" t="s">
        <v>83</v>
      </c>
      <c r="F21" s="3">
        <v>157.85</v>
      </c>
      <c r="G21" s="3"/>
      <c r="H21" s="3"/>
      <c r="I21" s="3"/>
      <c r="J21" s="3">
        <v>0</v>
      </c>
      <c r="K21" s="3"/>
      <c r="L21" s="3"/>
      <c r="M21" s="3"/>
      <c r="N21" s="14" t="s">
        <v>39</v>
      </c>
      <c r="O21" s="3">
        <v>0</v>
      </c>
      <c r="P21" s="3">
        <v>0</v>
      </c>
      <c r="Q21" s="3">
        <v>6.95</v>
      </c>
      <c r="R21" s="3">
        <v>0</v>
      </c>
      <c r="S21" s="3">
        <v>0</v>
      </c>
      <c r="T21" s="3">
        <v>0</v>
      </c>
      <c r="U21" s="3">
        <v>47</v>
      </c>
      <c r="V21" s="3">
        <v>0</v>
      </c>
      <c r="W21" s="3">
        <v>0</v>
      </c>
      <c r="X21" s="3">
        <v>73.8</v>
      </c>
      <c r="Y21" s="3">
        <v>0</v>
      </c>
      <c r="Z21" s="3">
        <v>0</v>
      </c>
      <c r="AA21" s="3">
        <v>30.1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157.85</v>
      </c>
      <c r="AK21" s="3" t="s">
        <v>51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2:63" x14ac:dyDescent="0.3">
      <c r="B22" s="3" t="s">
        <v>59</v>
      </c>
      <c r="C22" s="3" t="s">
        <v>235</v>
      </c>
      <c r="D22" s="3" t="s">
        <v>76</v>
      </c>
      <c r="E22" s="13" t="s">
        <v>234</v>
      </c>
      <c r="F22" s="3">
        <v>130.19999999999999</v>
      </c>
      <c r="G22" s="3"/>
      <c r="H22" s="3"/>
      <c r="I22" s="3"/>
      <c r="J22" s="3">
        <v>0</v>
      </c>
      <c r="K22" s="3"/>
      <c r="L22" s="3"/>
      <c r="M22" s="3"/>
      <c r="N22" s="14" t="s">
        <v>35</v>
      </c>
      <c r="O22" s="3">
        <v>0</v>
      </c>
      <c r="P22" s="3">
        <v>12.4</v>
      </c>
      <c r="Q22" s="3">
        <v>13.9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73.8</v>
      </c>
      <c r="Y22" s="3">
        <v>0</v>
      </c>
      <c r="Z22" s="3">
        <v>0</v>
      </c>
      <c r="AA22" s="3">
        <v>30.1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130.19999999999999</v>
      </c>
      <c r="AK22" s="3" t="s">
        <v>51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</row>
    <row r="23" spans="2:63" x14ac:dyDescent="0.3">
      <c r="B23" s="3" t="s">
        <v>59</v>
      </c>
      <c r="C23" s="3" t="s">
        <v>243</v>
      </c>
      <c r="D23" s="3" t="s">
        <v>90</v>
      </c>
      <c r="E23" s="13" t="s">
        <v>91</v>
      </c>
      <c r="F23" s="3">
        <v>110.85</v>
      </c>
      <c r="G23" s="3"/>
      <c r="H23" s="3"/>
      <c r="I23" s="3"/>
      <c r="J23" s="3">
        <v>0</v>
      </c>
      <c r="K23" s="3"/>
      <c r="L23" s="3"/>
      <c r="M23" s="3"/>
      <c r="N23" s="14" t="s">
        <v>36</v>
      </c>
      <c r="O23" s="3">
        <v>0</v>
      </c>
      <c r="P23" s="3">
        <v>0</v>
      </c>
      <c r="Q23" s="3">
        <v>6.95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73.8</v>
      </c>
      <c r="Y23" s="3">
        <v>0</v>
      </c>
      <c r="Z23" s="3">
        <v>0</v>
      </c>
      <c r="AA23" s="3">
        <v>30.1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110.85</v>
      </c>
      <c r="AK23" s="3" t="s">
        <v>51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</row>
    <row r="24" spans="2:63" x14ac:dyDescent="0.3">
      <c r="B24" s="3" t="s">
        <v>59</v>
      </c>
      <c r="C24" s="3" t="s">
        <v>244</v>
      </c>
      <c r="D24" s="3" t="s">
        <v>92</v>
      </c>
      <c r="E24" s="13" t="s">
        <v>93</v>
      </c>
      <c r="F24" s="3">
        <v>191.2</v>
      </c>
      <c r="G24" s="3"/>
      <c r="H24" s="3"/>
      <c r="I24" s="3"/>
      <c r="J24" s="3">
        <v>0</v>
      </c>
      <c r="K24" s="3"/>
      <c r="L24" s="3"/>
      <c r="M24" s="3"/>
      <c r="N24" s="14" t="s">
        <v>42</v>
      </c>
      <c r="O24" s="3">
        <v>0</v>
      </c>
      <c r="P24" s="3">
        <v>6.2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73.8</v>
      </c>
      <c r="Y24" s="3">
        <v>0</v>
      </c>
      <c r="Z24" s="3">
        <v>51</v>
      </c>
      <c r="AA24" s="3">
        <v>60.2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191.2</v>
      </c>
      <c r="AK24" s="3" t="s">
        <v>51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</row>
    <row r="25" spans="2:63" x14ac:dyDescent="0.3">
      <c r="B25" s="3" t="s">
        <v>59</v>
      </c>
      <c r="C25" s="3" t="s">
        <v>246</v>
      </c>
      <c r="D25" s="3" t="s">
        <v>96</v>
      </c>
      <c r="E25" s="13" t="s">
        <v>97</v>
      </c>
      <c r="F25" s="3">
        <v>110.85</v>
      </c>
      <c r="G25" s="3"/>
      <c r="H25" s="3"/>
      <c r="I25" s="3"/>
      <c r="J25" s="3">
        <v>0</v>
      </c>
      <c r="K25" s="3"/>
      <c r="L25" s="3"/>
      <c r="M25" s="3"/>
      <c r="N25" s="14" t="s">
        <v>36</v>
      </c>
      <c r="O25" s="3">
        <v>0</v>
      </c>
      <c r="P25" s="3">
        <v>0</v>
      </c>
      <c r="Q25" s="3">
        <v>6.95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73.8</v>
      </c>
      <c r="Y25" s="3">
        <v>0</v>
      </c>
      <c r="Z25" s="3">
        <v>0</v>
      </c>
      <c r="AA25" s="3">
        <v>30.1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110.85</v>
      </c>
      <c r="AK25" s="3" t="s">
        <v>51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2:63" x14ac:dyDescent="0.3">
      <c r="B26" s="3" t="s">
        <v>59</v>
      </c>
      <c r="C26" s="3" t="s">
        <v>237</v>
      </c>
      <c r="D26" s="3" t="s">
        <v>79</v>
      </c>
      <c r="E26" s="13" t="s">
        <v>80</v>
      </c>
      <c r="F26" s="3">
        <v>223.7</v>
      </c>
      <c r="G26" s="3"/>
      <c r="H26" s="3"/>
      <c r="I26" s="3"/>
      <c r="J26" s="3">
        <v>0</v>
      </c>
      <c r="K26" s="3"/>
      <c r="L26" s="3"/>
      <c r="M26" s="3"/>
      <c r="N26" s="14" t="s">
        <v>37</v>
      </c>
      <c r="O26" s="3">
        <v>0</v>
      </c>
      <c r="P26" s="3">
        <v>24.8</v>
      </c>
      <c r="Q26" s="3">
        <v>13.9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73.8</v>
      </c>
      <c r="Y26" s="3">
        <v>0</v>
      </c>
      <c r="Z26" s="3">
        <v>51</v>
      </c>
      <c r="AA26" s="3">
        <v>60.2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223.7</v>
      </c>
      <c r="AK26" s="3" t="s">
        <v>51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</row>
    <row r="27" spans="2:63" x14ac:dyDescent="0.3">
      <c r="B27" s="3" t="s">
        <v>58</v>
      </c>
      <c r="C27" s="11" t="s">
        <v>255</v>
      </c>
      <c r="D27" s="11" t="s">
        <v>106</v>
      </c>
      <c r="E27" s="12" t="s">
        <v>254</v>
      </c>
      <c r="F27" s="3">
        <v>80.75</v>
      </c>
      <c r="G27" s="3">
        <f>AVERAGE(F27:F32)</f>
        <v>194</v>
      </c>
      <c r="H27" s="3">
        <f>COUNTIF(F27:F32,"&gt;120")</f>
        <v>5</v>
      </c>
      <c r="I27" s="3">
        <f>H27/6</f>
        <v>0.83333333333333337</v>
      </c>
      <c r="J27" s="3">
        <v>0</v>
      </c>
      <c r="K27" s="3">
        <f>AVERAGE(J27:J32)</f>
        <v>18.583333333333332</v>
      </c>
      <c r="L27" s="3">
        <f>COUNTIF(J27:J32,"&gt;120")</f>
        <v>0</v>
      </c>
      <c r="M27" s="3">
        <f>L27/6</f>
        <v>0</v>
      </c>
      <c r="N27" s="14" t="s">
        <v>33</v>
      </c>
      <c r="O27" s="3">
        <v>0</v>
      </c>
      <c r="P27" s="3">
        <v>0</v>
      </c>
      <c r="Q27" s="3">
        <v>6.95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73.8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80.75</v>
      </c>
      <c r="AK27" s="3" t="s">
        <v>51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</row>
    <row r="28" spans="2:63" x14ac:dyDescent="0.3">
      <c r="B28" s="3" t="s">
        <v>58</v>
      </c>
      <c r="C28" s="11" t="s">
        <v>252</v>
      </c>
      <c r="D28" s="11" t="s">
        <v>114</v>
      </c>
      <c r="E28" s="12" t="s">
        <v>115</v>
      </c>
      <c r="F28" s="3">
        <v>197.85</v>
      </c>
      <c r="G28" s="3"/>
      <c r="H28" s="3"/>
      <c r="I28" s="3"/>
      <c r="J28" s="3">
        <v>0</v>
      </c>
      <c r="K28" s="3"/>
      <c r="L28" s="3"/>
      <c r="M28" s="3"/>
      <c r="N28" s="14" t="s">
        <v>41</v>
      </c>
      <c r="O28" s="3">
        <v>0</v>
      </c>
      <c r="P28" s="3">
        <v>0</v>
      </c>
      <c r="Q28" s="3">
        <v>6.95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147.6</v>
      </c>
      <c r="Y28" s="3">
        <v>43.3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197.85</v>
      </c>
      <c r="AK28" s="3" t="s">
        <v>51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2:63" x14ac:dyDescent="0.3">
      <c r="B29" s="3" t="s">
        <v>58</v>
      </c>
      <c r="C29" s="11" t="s">
        <v>252</v>
      </c>
      <c r="D29" s="11" t="s">
        <v>112</v>
      </c>
      <c r="E29" s="12" t="s">
        <v>113</v>
      </c>
      <c r="F29" s="3">
        <v>197.85</v>
      </c>
      <c r="G29" s="3"/>
      <c r="H29" s="3"/>
      <c r="I29" s="3"/>
      <c r="J29" s="3">
        <v>0</v>
      </c>
      <c r="K29" s="3"/>
      <c r="L29" s="3"/>
      <c r="M29" s="3"/>
      <c r="N29" s="14" t="s">
        <v>41</v>
      </c>
      <c r="O29" s="3">
        <v>0</v>
      </c>
      <c r="P29" s="3">
        <v>0</v>
      </c>
      <c r="Q29" s="3">
        <v>6.95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147.6</v>
      </c>
      <c r="Y29" s="3">
        <v>43.3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197.85</v>
      </c>
      <c r="AK29" s="3" t="s">
        <v>51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</row>
    <row r="30" spans="2:63" x14ac:dyDescent="0.3">
      <c r="B30" s="3" t="s">
        <v>58</v>
      </c>
      <c r="C30" s="11" t="s">
        <v>250</v>
      </c>
      <c r="D30" s="11" t="s">
        <v>118</v>
      </c>
      <c r="E30" s="12" t="s">
        <v>119</v>
      </c>
      <c r="F30" s="3">
        <v>244.85</v>
      </c>
      <c r="G30" s="3"/>
      <c r="H30" s="3"/>
      <c r="I30" s="3"/>
      <c r="J30" s="3">
        <v>111.5</v>
      </c>
      <c r="K30" s="3"/>
      <c r="L30" s="3"/>
      <c r="M30" s="3"/>
      <c r="N30" s="14" t="s">
        <v>45</v>
      </c>
      <c r="O30" s="3">
        <v>0</v>
      </c>
      <c r="P30" s="3">
        <v>0</v>
      </c>
      <c r="Q30" s="3">
        <v>6.95</v>
      </c>
      <c r="R30" s="3">
        <v>0</v>
      </c>
      <c r="S30" s="3">
        <v>0</v>
      </c>
      <c r="T30" s="3">
        <v>0</v>
      </c>
      <c r="U30" s="3">
        <v>47</v>
      </c>
      <c r="V30" s="3">
        <v>0</v>
      </c>
      <c r="W30" s="3">
        <v>0</v>
      </c>
      <c r="X30" s="3">
        <v>147.6</v>
      </c>
      <c r="Y30" s="3">
        <v>43.3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244.85</v>
      </c>
      <c r="AK30" s="3" t="s">
        <v>53</v>
      </c>
      <c r="AL30" s="3">
        <v>0</v>
      </c>
      <c r="AM30" s="3">
        <v>0</v>
      </c>
      <c r="AN30" s="3">
        <v>0</v>
      </c>
      <c r="AO30" s="3">
        <v>20.399999999999999</v>
      </c>
      <c r="AP30" s="3">
        <v>0</v>
      </c>
      <c r="AQ30" s="3">
        <v>6.2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84.9</v>
      </c>
      <c r="BI30" s="3">
        <v>0</v>
      </c>
      <c r="BJ30" s="3">
        <v>0</v>
      </c>
      <c r="BK30" s="3">
        <v>111.5</v>
      </c>
    </row>
    <row r="31" spans="2:63" x14ac:dyDescent="0.3">
      <c r="B31" s="3" t="s">
        <v>58</v>
      </c>
      <c r="C31" s="11" t="s">
        <v>107</v>
      </c>
      <c r="D31" s="11" t="s">
        <v>108</v>
      </c>
      <c r="E31" s="12" t="s">
        <v>109</v>
      </c>
      <c r="F31" s="3">
        <v>244.85</v>
      </c>
      <c r="G31" s="3"/>
      <c r="H31" s="3"/>
      <c r="I31" s="3"/>
      <c r="J31" s="3">
        <v>0</v>
      </c>
      <c r="K31" s="3"/>
      <c r="L31" s="3"/>
      <c r="M31" s="3"/>
      <c r="N31" s="14" t="s">
        <v>34</v>
      </c>
      <c r="O31" s="3">
        <v>0</v>
      </c>
      <c r="P31" s="3">
        <v>0</v>
      </c>
      <c r="Q31" s="3">
        <v>6.95</v>
      </c>
      <c r="R31" s="3">
        <v>0</v>
      </c>
      <c r="S31" s="3">
        <v>0</v>
      </c>
      <c r="T31" s="3">
        <v>0</v>
      </c>
      <c r="U31" s="3">
        <v>47</v>
      </c>
      <c r="V31" s="3">
        <v>0</v>
      </c>
      <c r="W31" s="3">
        <v>0</v>
      </c>
      <c r="X31" s="3">
        <v>147.6</v>
      </c>
      <c r="Y31" s="3">
        <v>43.3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244.85</v>
      </c>
      <c r="AK31" s="3" t="s">
        <v>51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2:63" x14ac:dyDescent="0.3">
      <c r="B32" s="3" t="s">
        <v>58</v>
      </c>
      <c r="C32" s="11" t="s">
        <v>253</v>
      </c>
      <c r="D32" s="11" t="s">
        <v>110</v>
      </c>
      <c r="E32" s="12" t="s">
        <v>111</v>
      </c>
      <c r="F32" s="3">
        <v>197.85</v>
      </c>
      <c r="G32" s="3"/>
      <c r="H32" s="3"/>
      <c r="I32" s="3"/>
      <c r="J32" s="3">
        <v>0</v>
      </c>
      <c r="K32" s="3"/>
      <c r="L32" s="3"/>
      <c r="M32" s="3"/>
      <c r="N32" s="14" t="s">
        <v>41</v>
      </c>
      <c r="O32" s="3">
        <v>0</v>
      </c>
      <c r="P32" s="3">
        <v>0</v>
      </c>
      <c r="Q32" s="3">
        <v>6.95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147.6</v>
      </c>
      <c r="Y32" s="3">
        <v>43.3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197.85</v>
      </c>
      <c r="AK32" s="3" t="s">
        <v>51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2:63" x14ac:dyDescent="0.3">
      <c r="B33" s="3" t="s">
        <v>57</v>
      </c>
      <c r="C33" s="3" t="s">
        <v>120</v>
      </c>
      <c r="D33" s="3" t="s">
        <v>121</v>
      </c>
      <c r="E33" s="13" t="s">
        <v>122</v>
      </c>
      <c r="F33" s="3">
        <v>6.2</v>
      </c>
      <c r="G33" s="3">
        <f>AVERAGE(F33:F93)</f>
        <v>12.753278688524597</v>
      </c>
      <c r="H33" s="3">
        <f>COUNTIF(F33:F93,"&gt;120")</f>
        <v>1</v>
      </c>
      <c r="I33" s="3">
        <f>H33/61</f>
        <v>1.6393442622950821E-2</v>
      </c>
      <c r="J33" s="3">
        <v>0</v>
      </c>
      <c r="K33" s="3">
        <f>AVERAGE(J33:J93)</f>
        <v>0</v>
      </c>
      <c r="L33" s="3">
        <f>COUNTIF(J33:J93,"&gt;120")</f>
        <v>0</v>
      </c>
      <c r="M33" s="3">
        <f>L33/61</f>
        <v>0</v>
      </c>
      <c r="N33" s="14" t="s">
        <v>24</v>
      </c>
      <c r="O33" s="3">
        <v>0</v>
      </c>
      <c r="P33" s="3">
        <v>6.2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6.2</v>
      </c>
      <c r="AK33" s="3" t="s">
        <v>51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2:63" x14ac:dyDescent="0.3">
      <c r="B34" s="3" t="s">
        <v>57</v>
      </c>
      <c r="C34" s="3" t="s">
        <v>123</v>
      </c>
      <c r="D34" s="3" t="s">
        <v>124</v>
      </c>
      <c r="E34" s="13" t="s">
        <v>125</v>
      </c>
      <c r="F34" s="3">
        <v>6.2</v>
      </c>
      <c r="G34" s="3"/>
      <c r="H34" s="3"/>
      <c r="I34" s="3"/>
      <c r="J34" s="3">
        <v>0</v>
      </c>
      <c r="K34" s="3"/>
      <c r="L34" s="3"/>
      <c r="M34" s="3"/>
      <c r="N34" s="14" t="s">
        <v>24</v>
      </c>
      <c r="O34" s="3">
        <v>0</v>
      </c>
      <c r="P34" s="3">
        <v>6.2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6.2</v>
      </c>
      <c r="AK34" s="3" t="s">
        <v>51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</row>
    <row r="35" spans="2:63" x14ac:dyDescent="0.3">
      <c r="B35" s="3" t="s">
        <v>57</v>
      </c>
      <c r="C35" s="3" t="s">
        <v>123</v>
      </c>
      <c r="D35" s="3" t="s">
        <v>126</v>
      </c>
      <c r="E35" s="13" t="s">
        <v>127</v>
      </c>
      <c r="F35" s="3">
        <v>6.2</v>
      </c>
      <c r="G35" s="3"/>
      <c r="H35" s="3"/>
      <c r="I35" s="3"/>
      <c r="J35" s="3">
        <v>0</v>
      </c>
      <c r="K35" s="3"/>
      <c r="L35" s="3"/>
      <c r="M35" s="3"/>
      <c r="N35" s="14" t="s">
        <v>24</v>
      </c>
      <c r="O35" s="3">
        <v>0</v>
      </c>
      <c r="P35" s="3">
        <v>6.2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6.2</v>
      </c>
      <c r="AK35" s="3" t="s">
        <v>51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</row>
    <row r="36" spans="2:63" x14ac:dyDescent="0.3">
      <c r="B36" s="3" t="s">
        <v>57</v>
      </c>
      <c r="C36" s="3" t="s">
        <v>123</v>
      </c>
      <c r="D36" s="3" t="s">
        <v>133</v>
      </c>
      <c r="E36" s="13" t="s">
        <v>134</v>
      </c>
      <c r="F36" s="3">
        <v>6.2</v>
      </c>
      <c r="G36" s="3"/>
      <c r="H36" s="3"/>
      <c r="I36" s="3"/>
      <c r="J36" s="3">
        <v>0</v>
      </c>
      <c r="K36" s="3"/>
      <c r="L36" s="3"/>
      <c r="M36" s="3"/>
      <c r="N36" s="14" t="s">
        <v>24</v>
      </c>
      <c r="O36" s="3">
        <v>0</v>
      </c>
      <c r="P36" s="3">
        <v>6.2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6.2</v>
      </c>
      <c r="AK36" s="3" t="s">
        <v>51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2:63" x14ac:dyDescent="0.3">
      <c r="B37" s="3" t="s">
        <v>57</v>
      </c>
      <c r="C37" s="3" t="s">
        <v>123</v>
      </c>
      <c r="D37" s="3" t="s">
        <v>128</v>
      </c>
      <c r="E37" s="13" t="s">
        <v>130</v>
      </c>
      <c r="F37" s="3">
        <v>6.2</v>
      </c>
      <c r="G37" s="3"/>
      <c r="H37" s="3"/>
      <c r="I37" s="3"/>
      <c r="J37" s="3">
        <v>0</v>
      </c>
      <c r="K37" s="3"/>
      <c r="L37" s="3"/>
      <c r="M37" s="3"/>
      <c r="N37" s="14" t="s">
        <v>24</v>
      </c>
      <c r="O37" s="3">
        <v>0</v>
      </c>
      <c r="P37" s="3">
        <v>6.2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6.2</v>
      </c>
      <c r="AK37" s="3" t="s">
        <v>51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2:63" x14ac:dyDescent="0.3">
      <c r="B38" s="3" t="s">
        <v>57</v>
      </c>
      <c r="C38" s="3" t="s">
        <v>123</v>
      </c>
      <c r="D38" s="3" t="s">
        <v>128</v>
      </c>
      <c r="E38" s="13" t="s">
        <v>131</v>
      </c>
      <c r="F38" s="3">
        <v>6.2</v>
      </c>
      <c r="G38" s="3"/>
      <c r="H38" s="3"/>
      <c r="I38" s="3"/>
      <c r="J38" s="3">
        <v>0</v>
      </c>
      <c r="K38" s="3"/>
      <c r="L38" s="3"/>
      <c r="M38" s="3"/>
      <c r="N38" s="14" t="s">
        <v>24</v>
      </c>
      <c r="O38" s="3">
        <v>0</v>
      </c>
      <c r="P38" s="3">
        <v>6.2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6.2</v>
      </c>
      <c r="AK38" s="3" t="s">
        <v>51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</row>
    <row r="39" spans="2:63" x14ac:dyDescent="0.3">
      <c r="B39" s="3" t="s">
        <v>57</v>
      </c>
      <c r="C39" s="3" t="s">
        <v>123</v>
      </c>
      <c r="D39" s="3" t="s">
        <v>128</v>
      </c>
      <c r="E39" s="13" t="s">
        <v>129</v>
      </c>
      <c r="F39" s="3">
        <v>6.2</v>
      </c>
      <c r="G39" s="3"/>
      <c r="H39" s="3"/>
      <c r="I39" s="3"/>
      <c r="J39" s="3">
        <v>0</v>
      </c>
      <c r="K39" s="3"/>
      <c r="L39" s="3"/>
      <c r="M39" s="3"/>
      <c r="N39" s="14" t="s">
        <v>24</v>
      </c>
      <c r="O39" s="3">
        <v>0</v>
      </c>
      <c r="P39" s="3">
        <v>6.2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6.2</v>
      </c>
      <c r="AK39" s="3" t="s">
        <v>51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2:63" x14ac:dyDescent="0.3">
      <c r="B40" s="3" t="s">
        <v>57</v>
      </c>
      <c r="C40" s="3" t="s">
        <v>123</v>
      </c>
      <c r="D40" s="3" t="s">
        <v>128</v>
      </c>
      <c r="E40" s="13" t="s">
        <v>132</v>
      </c>
      <c r="F40" s="3">
        <v>6.2</v>
      </c>
      <c r="G40" s="3"/>
      <c r="H40" s="3"/>
      <c r="I40" s="3"/>
      <c r="J40" s="3">
        <v>0</v>
      </c>
      <c r="K40" s="3"/>
      <c r="L40" s="3"/>
      <c r="M40" s="3"/>
      <c r="N40" s="14" t="s">
        <v>24</v>
      </c>
      <c r="O40" s="3">
        <v>0</v>
      </c>
      <c r="P40" s="3">
        <v>6.2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6.2</v>
      </c>
      <c r="AK40" s="3" t="s">
        <v>51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2:63" x14ac:dyDescent="0.3">
      <c r="B41" s="3" t="s">
        <v>57</v>
      </c>
      <c r="C41" s="3" t="s">
        <v>232</v>
      </c>
      <c r="D41" s="3" t="s">
        <v>124</v>
      </c>
      <c r="E41" s="13" t="s">
        <v>125</v>
      </c>
      <c r="F41" s="3">
        <v>6.2</v>
      </c>
      <c r="G41" s="3"/>
      <c r="H41" s="3"/>
      <c r="I41" s="3"/>
      <c r="J41" s="3">
        <v>0</v>
      </c>
      <c r="K41" s="3"/>
      <c r="L41" s="3"/>
      <c r="M41" s="3"/>
      <c r="N41" s="14" t="s">
        <v>24</v>
      </c>
      <c r="O41" s="3">
        <v>0</v>
      </c>
      <c r="P41" s="3">
        <v>6.2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6.2</v>
      </c>
      <c r="AK41" s="3" t="s">
        <v>51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</row>
    <row r="42" spans="2:63" x14ac:dyDescent="0.3">
      <c r="B42" s="3" t="s">
        <v>57</v>
      </c>
      <c r="C42" s="3" t="s">
        <v>225</v>
      </c>
      <c r="D42" s="3" t="s">
        <v>136</v>
      </c>
      <c r="E42" s="13" t="s">
        <v>226</v>
      </c>
      <c r="F42" s="3">
        <v>6.2</v>
      </c>
      <c r="G42" s="3"/>
      <c r="H42" s="3"/>
      <c r="I42" s="3"/>
      <c r="J42" s="3">
        <v>0</v>
      </c>
      <c r="K42" s="3"/>
      <c r="L42" s="3"/>
      <c r="M42" s="3"/>
      <c r="N42" s="14" t="s">
        <v>24</v>
      </c>
      <c r="O42" s="3">
        <v>0</v>
      </c>
      <c r="P42" s="3">
        <v>6.2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6.2</v>
      </c>
      <c r="AK42" s="3" t="s">
        <v>51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2:63" x14ac:dyDescent="0.3">
      <c r="B43" s="3" t="s">
        <v>57</v>
      </c>
      <c r="C43" s="3" t="s">
        <v>135</v>
      </c>
      <c r="D43" s="3" t="s">
        <v>147</v>
      </c>
      <c r="E43" s="13" t="s">
        <v>148</v>
      </c>
      <c r="F43" s="3">
        <v>6.2</v>
      </c>
      <c r="G43" s="3"/>
      <c r="H43" s="3"/>
      <c r="I43" s="3"/>
      <c r="J43" s="3">
        <v>0</v>
      </c>
      <c r="K43" s="3"/>
      <c r="L43" s="3"/>
      <c r="M43" s="3"/>
      <c r="N43" s="14" t="s">
        <v>24</v>
      </c>
      <c r="O43" s="3">
        <v>0</v>
      </c>
      <c r="P43" s="3">
        <v>6.2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6.2</v>
      </c>
      <c r="AK43" s="3" t="s">
        <v>51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</row>
    <row r="44" spans="2:63" x14ac:dyDescent="0.3">
      <c r="B44" s="3" t="s">
        <v>57</v>
      </c>
      <c r="C44" s="3" t="s">
        <v>135</v>
      </c>
      <c r="D44" s="3" t="s">
        <v>136</v>
      </c>
      <c r="E44" s="13" t="s">
        <v>137</v>
      </c>
      <c r="F44" s="3">
        <v>6.2</v>
      </c>
      <c r="G44" s="3"/>
      <c r="H44" s="3"/>
      <c r="I44" s="3"/>
      <c r="J44" s="3">
        <v>0</v>
      </c>
      <c r="K44" s="3"/>
      <c r="L44" s="3"/>
      <c r="M44" s="3"/>
      <c r="N44" s="14" t="s">
        <v>24</v>
      </c>
      <c r="O44" s="3">
        <v>0</v>
      </c>
      <c r="P44" s="3">
        <v>6.2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6.2</v>
      </c>
      <c r="AK44" s="3" t="s">
        <v>51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</row>
    <row r="45" spans="2:63" x14ac:dyDescent="0.3">
      <c r="B45" s="3" t="s">
        <v>57</v>
      </c>
      <c r="C45" s="3" t="s">
        <v>135</v>
      </c>
      <c r="D45" s="3" t="s">
        <v>136</v>
      </c>
      <c r="E45" s="13" t="s">
        <v>138</v>
      </c>
      <c r="F45" s="3">
        <v>6.2</v>
      </c>
      <c r="G45" s="3"/>
      <c r="H45" s="3"/>
      <c r="I45" s="3"/>
      <c r="J45" s="3">
        <v>0</v>
      </c>
      <c r="K45" s="3"/>
      <c r="L45" s="3"/>
      <c r="M45" s="3"/>
      <c r="N45" s="14" t="s">
        <v>24</v>
      </c>
      <c r="O45" s="3">
        <v>0</v>
      </c>
      <c r="P45" s="3">
        <v>6.2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6.2</v>
      </c>
      <c r="AK45" s="3" t="s">
        <v>51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</row>
    <row r="46" spans="2:63" x14ac:dyDescent="0.3">
      <c r="B46" s="3" t="s">
        <v>57</v>
      </c>
      <c r="C46" s="3" t="s">
        <v>135</v>
      </c>
      <c r="D46" s="3" t="s">
        <v>136</v>
      </c>
      <c r="E46" s="13" t="s">
        <v>142</v>
      </c>
      <c r="F46" s="3">
        <v>6.2</v>
      </c>
      <c r="G46" s="3"/>
      <c r="H46" s="3"/>
      <c r="I46" s="3"/>
      <c r="J46" s="3">
        <v>0</v>
      </c>
      <c r="K46" s="3"/>
      <c r="L46" s="3"/>
      <c r="M46" s="3"/>
      <c r="N46" s="14" t="s">
        <v>24</v>
      </c>
      <c r="O46" s="3">
        <v>0</v>
      </c>
      <c r="P46" s="3">
        <v>6.2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6.2</v>
      </c>
      <c r="AK46" s="3" t="s">
        <v>51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</row>
    <row r="47" spans="2:63" x14ac:dyDescent="0.3">
      <c r="B47" s="3" t="s">
        <v>57</v>
      </c>
      <c r="C47" s="3" t="s">
        <v>135</v>
      </c>
      <c r="D47" s="3" t="s">
        <v>136</v>
      </c>
      <c r="E47" s="13" t="s">
        <v>144</v>
      </c>
      <c r="F47" s="3">
        <v>6.2</v>
      </c>
      <c r="G47" s="3"/>
      <c r="H47" s="3"/>
      <c r="I47" s="3"/>
      <c r="J47" s="3">
        <v>0</v>
      </c>
      <c r="K47" s="3"/>
      <c r="L47" s="3"/>
      <c r="M47" s="3"/>
      <c r="N47" s="14" t="s">
        <v>24</v>
      </c>
      <c r="O47" s="3">
        <v>0</v>
      </c>
      <c r="P47" s="3">
        <v>6.2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6.2</v>
      </c>
      <c r="AK47" s="3" t="s">
        <v>51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</row>
    <row r="48" spans="2:63" x14ac:dyDescent="0.3">
      <c r="B48" s="3" t="s">
        <v>57</v>
      </c>
      <c r="C48" s="3" t="s">
        <v>135</v>
      </c>
      <c r="D48" s="3" t="s">
        <v>139</v>
      </c>
      <c r="E48" s="13" t="s">
        <v>143</v>
      </c>
      <c r="F48" s="3">
        <v>6.2</v>
      </c>
      <c r="G48" s="3"/>
      <c r="H48" s="3"/>
      <c r="I48" s="3"/>
      <c r="J48" s="3">
        <v>0</v>
      </c>
      <c r="K48" s="3"/>
      <c r="L48" s="3"/>
      <c r="M48" s="3"/>
      <c r="N48" s="14" t="s">
        <v>24</v>
      </c>
      <c r="O48" s="3">
        <v>0</v>
      </c>
      <c r="P48" s="3">
        <v>6.2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6.2</v>
      </c>
      <c r="AK48" s="3" t="s">
        <v>51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</row>
    <row r="49" spans="2:63" x14ac:dyDescent="0.3">
      <c r="B49" s="3" t="s">
        <v>57</v>
      </c>
      <c r="C49" s="3" t="s">
        <v>135</v>
      </c>
      <c r="D49" s="3" t="s">
        <v>139</v>
      </c>
      <c r="E49" s="13" t="s">
        <v>141</v>
      </c>
      <c r="F49" s="3">
        <v>6.2</v>
      </c>
      <c r="G49" s="3"/>
      <c r="H49" s="3"/>
      <c r="I49" s="3"/>
      <c r="J49" s="3">
        <v>0</v>
      </c>
      <c r="K49" s="3"/>
      <c r="L49" s="3"/>
      <c r="M49" s="3"/>
      <c r="N49" s="14" t="s">
        <v>24</v>
      </c>
      <c r="O49" s="3">
        <v>0</v>
      </c>
      <c r="P49" s="3">
        <v>6.2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6.2</v>
      </c>
      <c r="AK49" s="3" t="s">
        <v>51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2:63" x14ac:dyDescent="0.3">
      <c r="B50" s="3" t="s">
        <v>57</v>
      </c>
      <c r="C50" s="3" t="s">
        <v>135</v>
      </c>
      <c r="D50" s="3" t="s">
        <v>139</v>
      </c>
      <c r="E50" s="13" t="s">
        <v>140</v>
      </c>
      <c r="F50" s="3">
        <v>6.2</v>
      </c>
      <c r="G50" s="3"/>
      <c r="H50" s="3"/>
      <c r="I50" s="3"/>
      <c r="J50" s="3">
        <v>0</v>
      </c>
      <c r="K50" s="3"/>
      <c r="L50" s="3"/>
      <c r="M50" s="3"/>
      <c r="N50" s="14" t="s">
        <v>24</v>
      </c>
      <c r="O50" s="3">
        <v>0</v>
      </c>
      <c r="P50" s="3">
        <v>6.2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6.2</v>
      </c>
      <c r="AK50" s="3" t="s">
        <v>51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</row>
    <row r="51" spans="2:63" x14ac:dyDescent="0.3">
      <c r="B51" s="3" t="s">
        <v>57</v>
      </c>
      <c r="C51" s="3" t="s">
        <v>135</v>
      </c>
      <c r="D51" s="3" t="s">
        <v>145</v>
      </c>
      <c r="E51" s="13" t="s">
        <v>146</v>
      </c>
      <c r="F51" s="3">
        <v>6.2</v>
      </c>
      <c r="G51" s="3"/>
      <c r="H51" s="3"/>
      <c r="I51" s="3"/>
      <c r="J51" s="3">
        <v>0</v>
      </c>
      <c r="K51" s="3"/>
      <c r="L51" s="3"/>
      <c r="M51" s="3"/>
      <c r="N51" s="14" t="s">
        <v>24</v>
      </c>
      <c r="O51" s="3">
        <v>0</v>
      </c>
      <c r="P51" s="3">
        <v>6.2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6.2</v>
      </c>
      <c r="AK51" s="3" t="s">
        <v>51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</row>
    <row r="52" spans="2:63" x14ac:dyDescent="0.3">
      <c r="B52" s="3" t="s">
        <v>57</v>
      </c>
      <c r="C52" s="3" t="s">
        <v>149</v>
      </c>
      <c r="D52" s="3" t="s">
        <v>152</v>
      </c>
      <c r="E52" s="13" t="s">
        <v>153</v>
      </c>
      <c r="F52" s="3">
        <v>6.2</v>
      </c>
      <c r="G52" s="3"/>
      <c r="H52" s="3"/>
      <c r="I52" s="3"/>
      <c r="J52" s="3">
        <v>0</v>
      </c>
      <c r="K52" s="3"/>
      <c r="L52" s="3"/>
      <c r="M52" s="3"/>
      <c r="N52" s="14" t="s">
        <v>24</v>
      </c>
      <c r="O52" s="3">
        <v>0</v>
      </c>
      <c r="P52" s="3">
        <v>6.2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6.2</v>
      </c>
      <c r="AK52" s="3" t="s">
        <v>51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</row>
    <row r="53" spans="2:63" x14ac:dyDescent="0.3">
      <c r="B53" s="3" t="s">
        <v>57</v>
      </c>
      <c r="C53" s="3" t="s">
        <v>149</v>
      </c>
      <c r="D53" s="3" t="s">
        <v>150</v>
      </c>
      <c r="E53" s="13" t="s">
        <v>151</v>
      </c>
      <c r="F53" s="3">
        <v>6.2</v>
      </c>
      <c r="G53" s="3"/>
      <c r="H53" s="3"/>
      <c r="I53" s="3"/>
      <c r="J53" s="3">
        <v>0</v>
      </c>
      <c r="K53" s="3"/>
      <c r="L53" s="3"/>
      <c r="M53" s="3"/>
      <c r="N53" s="14" t="s">
        <v>24</v>
      </c>
      <c r="O53" s="3">
        <v>0</v>
      </c>
      <c r="P53" s="3">
        <v>6.2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6.2</v>
      </c>
      <c r="AK53" s="3" t="s">
        <v>51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</row>
    <row r="54" spans="2:63" x14ac:dyDescent="0.3">
      <c r="B54" s="3" t="s">
        <v>57</v>
      </c>
      <c r="C54" s="3" t="s">
        <v>154</v>
      </c>
      <c r="D54" s="3" t="s">
        <v>155</v>
      </c>
      <c r="E54" s="13" t="s">
        <v>156</v>
      </c>
      <c r="F54" s="3">
        <v>6.2</v>
      </c>
      <c r="G54" s="3"/>
      <c r="H54" s="3"/>
      <c r="I54" s="3"/>
      <c r="J54" s="3">
        <v>0</v>
      </c>
      <c r="K54" s="3"/>
      <c r="L54" s="3"/>
      <c r="M54" s="3"/>
      <c r="N54" s="14" t="s">
        <v>24</v>
      </c>
      <c r="O54" s="3">
        <v>0</v>
      </c>
      <c r="P54" s="3">
        <v>6.2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6.2</v>
      </c>
      <c r="AK54" s="3" t="s">
        <v>51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</row>
    <row r="55" spans="2:63" x14ac:dyDescent="0.3">
      <c r="B55" s="3" t="s">
        <v>57</v>
      </c>
      <c r="C55" s="3" t="s">
        <v>154</v>
      </c>
      <c r="D55" s="3" t="s">
        <v>155</v>
      </c>
      <c r="E55" s="13" t="s">
        <v>157</v>
      </c>
      <c r="F55" s="3">
        <v>6.2</v>
      </c>
      <c r="G55" s="3"/>
      <c r="H55" s="3"/>
      <c r="I55" s="3"/>
      <c r="J55" s="3">
        <v>0</v>
      </c>
      <c r="K55" s="3"/>
      <c r="L55" s="3"/>
      <c r="M55" s="3"/>
      <c r="N55" s="14" t="s">
        <v>24</v>
      </c>
      <c r="O55" s="3">
        <v>0</v>
      </c>
      <c r="P55" s="3">
        <v>6.2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6.2</v>
      </c>
      <c r="AK55" s="3" t="s">
        <v>51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</row>
    <row r="56" spans="2:63" x14ac:dyDescent="0.3">
      <c r="B56" s="3" t="s">
        <v>57</v>
      </c>
      <c r="C56" s="3" t="s">
        <v>222</v>
      </c>
      <c r="D56" s="3" t="s">
        <v>223</v>
      </c>
      <c r="E56" s="13" t="s">
        <v>224</v>
      </c>
      <c r="F56" s="3">
        <v>6.2</v>
      </c>
      <c r="G56" s="3"/>
      <c r="H56" s="3"/>
      <c r="I56" s="3"/>
      <c r="J56" s="3">
        <v>0</v>
      </c>
      <c r="K56" s="3"/>
      <c r="L56" s="3"/>
      <c r="M56" s="3"/>
      <c r="N56" s="14" t="s">
        <v>24</v>
      </c>
      <c r="O56" s="3">
        <v>0</v>
      </c>
      <c r="P56" s="3">
        <v>6.2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6.2</v>
      </c>
      <c r="AK56" s="3" t="s">
        <v>51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2:63" x14ac:dyDescent="0.3">
      <c r="B57" s="3" t="s">
        <v>57</v>
      </c>
      <c r="C57" s="3" t="s">
        <v>158</v>
      </c>
      <c r="D57" s="3" t="s">
        <v>159</v>
      </c>
      <c r="E57" s="13" t="s">
        <v>160</v>
      </c>
      <c r="F57" s="3">
        <v>6.2</v>
      </c>
      <c r="G57" s="3"/>
      <c r="H57" s="3"/>
      <c r="I57" s="3"/>
      <c r="J57" s="3">
        <v>0</v>
      </c>
      <c r="K57" s="3"/>
      <c r="L57" s="3"/>
      <c r="M57" s="3"/>
      <c r="N57" s="14" t="s">
        <v>24</v>
      </c>
      <c r="O57" s="3">
        <v>0</v>
      </c>
      <c r="P57" s="3">
        <v>6.2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6.2</v>
      </c>
      <c r="AK57" s="3" t="s">
        <v>51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2:63" x14ac:dyDescent="0.3">
      <c r="B58" s="3" t="s">
        <v>57</v>
      </c>
      <c r="C58" s="3" t="s">
        <v>158</v>
      </c>
      <c r="D58" s="3" t="s">
        <v>178</v>
      </c>
      <c r="E58" s="13" t="s">
        <v>179</v>
      </c>
      <c r="F58" s="3">
        <v>6.2</v>
      </c>
      <c r="G58" s="3"/>
      <c r="H58" s="3"/>
      <c r="I58" s="3"/>
      <c r="J58" s="3">
        <v>0</v>
      </c>
      <c r="K58" s="3"/>
      <c r="L58" s="3"/>
      <c r="M58" s="3"/>
      <c r="N58" s="14" t="s">
        <v>24</v>
      </c>
      <c r="O58" s="3">
        <v>0</v>
      </c>
      <c r="P58" s="3">
        <v>6.2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6.2</v>
      </c>
      <c r="AK58" s="3" t="s">
        <v>51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</row>
    <row r="59" spans="2:63" x14ac:dyDescent="0.3">
      <c r="B59" s="3" t="s">
        <v>57</v>
      </c>
      <c r="C59" s="3" t="s">
        <v>158</v>
      </c>
      <c r="D59" s="3" t="s">
        <v>219</v>
      </c>
      <c r="E59" s="13" t="s">
        <v>220</v>
      </c>
      <c r="F59" s="3">
        <v>6.2</v>
      </c>
      <c r="G59" s="3"/>
      <c r="H59" s="3"/>
      <c r="I59" s="3"/>
      <c r="J59" s="3">
        <v>0</v>
      </c>
      <c r="K59" s="3"/>
      <c r="L59" s="3"/>
      <c r="M59" s="3"/>
      <c r="N59" s="14" t="s">
        <v>24</v>
      </c>
      <c r="O59" s="3">
        <v>0</v>
      </c>
      <c r="P59" s="3">
        <v>6.2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6.2</v>
      </c>
      <c r="AK59" s="3" t="s">
        <v>51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</row>
    <row r="60" spans="2:63" x14ac:dyDescent="0.3">
      <c r="B60" s="3" t="s">
        <v>57</v>
      </c>
      <c r="C60" s="3" t="s">
        <v>158</v>
      </c>
      <c r="D60" s="3" t="s">
        <v>227</v>
      </c>
      <c r="E60" s="13" t="s">
        <v>228</v>
      </c>
      <c r="F60" s="3">
        <v>6.2</v>
      </c>
      <c r="G60" s="3"/>
      <c r="H60" s="3"/>
      <c r="I60" s="3"/>
      <c r="J60" s="3">
        <v>0</v>
      </c>
      <c r="K60" s="3"/>
      <c r="L60" s="3"/>
      <c r="M60" s="3"/>
      <c r="N60" s="14" t="s">
        <v>24</v>
      </c>
      <c r="O60" s="3">
        <v>0</v>
      </c>
      <c r="P60" s="3">
        <v>6.2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6.2</v>
      </c>
      <c r="AK60" s="3" t="s">
        <v>51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</row>
    <row r="61" spans="2:63" x14ac:dyDescent="0.3">
      <c r="B61" s="3" t="s">
        <v>57</v>
      </c>
      <c r="C61" s="3" t="s">
        <v>158</v>
      </c>
      <c r="D61" s="3" t="s">
        <v>161</v>
      </c>
      <c r="E61" s="13" t="s">
        <v>229</v>
      </c>
      <c r="F61" s="3">
        <v>6.2</v>
      </c>
      <c r="G61" s="3"/>
      <c r="H61" s="3"/>
      <c r="I61" s="3"/>
      <c r="J61" s="3">
        <v>0</v>
      </c>
      <c r="K61" s="3"/>
      <c r="L61" s="3"/>
      <c r="M61" s="3"/>
      <c r="N61" s="14" t="s">
        <v>24</v>
      </c>
      <c r="O61" s="3">
        <v>0</v>
      </c>
      <c r="P61" s="3">
        <v>6.2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6.2</v>
      </c>
      <c r="AK61" s="3" t="s">
        <v>51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2:63" x14ac:dyDescent="0.3">
      <c r="B62" s="3" t="s">
        <v>57</v>
      </c>
      <c r="C62" s="3" t="s">
        <v>158</v>
      </c>
      <c r="D62" s="3" t="s">
        <v>163</v>
      </c>
      <c r="E62" s="13" t="s">
        <v>164</v>
      </c>
      <c r="F62" s="3">
        <v>6.2</v>
      </c>
      <c r="G62" s="3"/>
      <c r="H62" s="3"/>
      <c r="I62" s="3"/>
      <c r="J62" s="3">
        <v>0</v>
      </c>
      <c r="K62" s="3"/>
      <c r="L62" s="3"/>
      <c r="M62" s="3"/>
      <c r="N62" s="14" t="s">
        <v>24</v>
      </c>
      <c r="O62" s="3">
        <v>0</v>
      </c>
      <c r="P62" s="3">
        <v>6.2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6.2</v>
      </c>
      <c r="AK62" s="3" t="s">
        <v>51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</row>
    <row r="63" spans="2:63" x14ac:dyDescent="0.3">
      <c r="B63" s="3" t="s">
        <v>57</v>
      </c>
      <c r="C63" s="3" t="s">
        <v>158</v>
      </c>
      <c r="D63" s="3" t="s">
        <v>145</v>
      </c>
      <c r="E63" s="13" t="s">
        <v>165</v>
      </c>
      <c r="F63" s="3">
        <v>6.2</v>
      </c>
      <c r="G63" s="3"/>
      <c r="H63" s="3"/>
      <c r="I63" s="3"/>
      <c r="J63" s="3">
        <v>0</v>
      </c>
      <c r="K63" s="3"/>
      <c r="L63" s="3"/>
      <c r="M63" s="3"/>
      <c r="N63" s="14" t="s">
        <v>24</v>
      </c>
      <c r="O63" s="3">
        <v>0</v>
      </c>
      <c r="P63" s="3">
        <v>6.2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6.2</v>
      </c>
      <c r="AK63" s="3" t="s">
        <v>51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</row>
    <row r="64" spans="2:63" x14ac:dyDescent="0.3">
      <c r="B64" s="3" t="s">
        <v>57</v>
      </c>
      <c r="C64" s="3" t="s">
        <v>158</v>
      </c>
      <c r="D64" s="3" t="s">
        <v>145</v>
      </c>
      <c r="E64" s="13" t="s">
        <v>146</v>
      </c>
      <c r="F64" s="3">
        <v>6.2</v>
      </c>
      <c r="G64" s="3"/>
      <c r="H64" s="3"/>
      <c r="I64" s="3"/>
      <c r="J64" s="3">
        <v>0</v>
      </c>
      <c r="K64" s="3"/>
      <c r="L64" s="3"/>
      <c r="M64" s="3"/>
      <c r="N64" s="14" t="s">
        <v>24</v>
      </c>
      <c r="O64" s="3">
        <v>0</v>
      </c>
      <c r="P64" s="3">
        <v>6.2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6.2</v>
      </c>
      <c r="AK64" s="3" t="s">
        <v>51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</row>
    <row r="65" spans="2:63" x14ac:dyDescent="0.3">
      <c r="B65" s="3" t="s">
        <v>57</v>
      </c>
      <c r="C65" s="3" t="s">
        <v>158</v>
      </c>
      <c r="D65" s="3" t="s">
        <v>166</v>
      </c>
      <c r="E65" s="13" t="s">
        <v>177</v>
      </c>
      <c r="F65" s="3">
        <v>6.2</v>
      </c>
      <c r="G65" s="3"/>
      <c r="H65" s="3"/>
      <c r="I65" s="3"/>
      <c r="J65" s="3">
        <v>0</v>
      </c>
      <c r="K65" s="3"/>
      <c r="L65" s="3"/>
      <c r="M65" s="3"/>
      <c r="N65" s="14" t="s">
        <v>24</v>
      </c>
      <c r="O65" s="3">
        <v>0</v>
      </c>
      <c r="P65" s="3">
        <v>6.2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6.2</v>
      </c>
      <c r="AK65" s="3" t="s">
        <v>51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2:63" x14ac:dyDescent="0.3">
      <c r="B66" s="3" t="s">
        <v>57</v>
      </c>
      <c r="C66" s="3" t="s">
        <v>158</v>
      </c>
      <c r="D66" s="3" t="s">
        <v>166</v>
      </c>
      <c r="E66" s="13" t="s">
        <v>167</v>
      </c>
      <c r="F66" s="3">
        <v>6.2</v>
      </c>
      <c r="G66" s="3"/>
      <c r="H66" s="3"/>
      <c r="I66" s="3"/>
      <c r="J66" s="3">
        <v>0</v>
      </c>
      <c r="K66" s="3"/>
      <c r="L66" s="3"/>
      <c r="M66" s="3"/>
      <c r="N66" s="14" t="s">
        <v>24</v>
      </c>
      <c r="O66" s="3">
        <v>0</v>
      </c>
      <c r="P66" s="3">
        <v>6.2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6.2</v>
      </c>
      <c r="AK66" s="3" t="s">
        <v>51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</row>
    <row r="67" spans="2:63" x14ac:dyDescent="0.3">
      <c r="B67" s="3" t="s">
        <v>57</v>
      </c>
      <c r="C67" s="3" t="s">
        <v>158</v>
      </c>
      <c r="D67" s="3" t="s">
        <v>166</v>
      </c>
      <c r="E67" s="13" t="s">
        <v>233</v>
      </c>
      <c r="F67" s="3">
        <v>53.2</v>
      </c>
      <c r="G67" s="3"/>
      <c r="H67" s="3"/>
      <c r="I67" s="3"/>
      <c r="J67" s="3">
        <v>0</v>
      </c>
      <c r="K67" s="3"/>
      <c r="L67" s="3"/>
      <c r="M67" s="3"/>
      <c r="N67" s="14" t="s">
        <v>44</v>
      </c>
      <c r="O67" s="3">
        <v>0</v>
      </c>
      <c r="P67" s="3">
        <v>6.2</v>
      </c>
      <c r="Q67" s="3">
        <v>0</v>
      </c>
      <c r="R67" s="3">
        <v>0</v>
      </c>
      <c r="S67" s="3">
        <v>0</v>
      </c>
      <c r="T67" s="3">
        <v>0</v>
      </c>
      <c r="U67" s="3">
        <v>47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53.2</v>
      </c>
      <c r="AK67" s="3" t="s">
        <v>51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</row>
    <row r="68" spans="2:63" x14ac:dyDescent="0.3">
      <c r="B68" s="3" t="s">
        <v>57</v>
      </c>
      <c r="C68" s="3" t="s">
        <v>158</v>
      </c>
      <c r="D68" s="3" t="s">
        <v>166</v>
      </c>
      <c r="E68" s="13" t="s">
        <v>168</v>
      </c>
      <c r="F68" s="3">
        <v>6.2</v>
      </c>
      <c r="G68" s="3"/>
      <c r="H68" s="3"/>
      <c r="I68" s="3"/>
      <c r="J68" s="3">
        <v>0</v>
      </c>
      <c r="K68" s="3"/>
      <c r="L68" s="3"/>
      <c r="M68" s="3"/>
      <c r="N68" s="14" t="s">
        <v>24</v>
      </c>
      <c r="O68" s="3">
        <v>0</v>
      </c>
      <c r="P68" s="3">
        <v>6.2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6.2</v>
      </c>
      <c r="AK68" s="3" t="s">
        <v>51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</row>
    <row r="69" spans="2:63" x14ac:dyDescent="0.3">
      <c r="B69" s="3" t="s">
        <v>57</v>
      </c>
      <c r="C69" s="3" t="s">
        <v>158</v>
      </c>
      <c r="D69" s="3" t="s">
        <v>182</v>
      </c>
      <c r="E69" s="13" t="s">
        <v>184</v>
      </c>
      <c r="F69" s="3">
        <v>6.2</v>
      </c>
      <c r="G69" s="3"/>
      <c r="H69" s="3"/>
      <c r="I69" s="3"/>
      <c r="J69" s="3">
        <v>0</v>
      </c>
      <c r="K69" s="3"/>
      <c r="L69" s="3"/>
      <c r="M69" s="3"/>
      <c r="N69" s="14" t="s">
        <v>24</v>
      </c>
      <c r="O69" s="3">
        <v>0</v>
      </c>
      <c r="P69" s="3">
        <v>6.2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6.2</v>
      </c>
      <c r="AK69" s="3" t="s">
        <v>51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</row>
    <row r="70" spans="2:63" x14ac:dyDescent="0.3">
      <c r="B70" s="3" t="s">
        <v>57</v>
      </c>
      <c r="C70" s="3" t="s">
        <v>158</v>
      </c>
      <c r="D70" s="3" t="s">
        <v>182</v>
      </c>
      <c r="E70" s="13" t="s">
        <v>183</v>
      </c>
      <c r="F70" s="3">
        <v>6.2</v>
      </c>
      <c r="G70" s="3"/>
      <c r="H70" s="3"/>
      <c r="I70" s="3"/>
      <c r="J70" s="3">
        <v>0</v>
      </c>
      <c r="K70" s="3"/>
      <c r="L70" s="3"/>
      <c r="M70" s="3"/>
      <c r="N70" s="14" t="s">
        <v>24</v>
      </c>
      <c r="O70" s="3">
        <v>0</v>
      </c>
      <c r="P70" s="3">
        <v>6.2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6.2</v>
      </c>
      <c r="AK70" s="3" t="s">
        <v>51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2:63" x14ac:dyDescent="0.3">
      <c r="B71" s="3" t="s">
        <v>57</v>
      </c>
      <c r="C71" s="3" t="s">
        <v>158</v>
      </c>
      <c r="D71" s="3" t="s">
        <v>230</v>
      </c>
      <c r="E71" s="13" t="s">
        <v>231</v>
      </c>
      <c r="F71" s="3">
        <v>6.2</v>
      </c>
      <c r="G71" s="3"/>
      <c r="H71" s="3"/>
      <c r="I71" s="3"/>
      <c r="J71" s="3">
        <v>0</v>
      </c>
      <c r="K71" s="3"/>
      <c r="L71" s="3"/>
      <c r="M71" s="3"/>
      <c r="N71" s="14" t="s">
        <v>24</v>
      </c>
      <c r="O71" s="3">
        <v>0</v>
      </c>
      <c r="P71" s="3">
        <v>6.2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6.2</v>
      </c>
      <c r="AK71" s="3" t="s">
        <v>51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2:63" x14ac:dyDescent="0.3">
      <c r="B72" s="3" t="s">
        <v>57</v>
      </c>
      <c r="C72" s="3" t="s">
        <v>158</v>
      </c>
      <c r="D72" s="3" t="s">
        <v>169</v>
      </c>
      <c r="E72" s="13" t="s">
        <v>171</v>
      </c>
      <c r="F72" s="3">
        <v>6.2</v>
      </c>
      <c r="G72" s="3"/>
      <c r="H72" s="3"/>
      <c r="I72" s="3"/>
      <c r="J72" s="3">
        <v>0</v>
      </c>
      <c r="K72" s="3"/>
      <c r="L72" s="3"/>
      <c r="M72" s="3"/>
      <c r="N72" s="14" t="s">
        <v>24</v>
      </c>
      <c r="O72" s="3">
        <v>0</v>
      </c>
      <c r="P72" s="3">
        <v>6.2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6.2</v>
      </c>
      <c r="AK72" s="3" t="s">
        <v>51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</row>
    <row r="73" spans="2:63" x14ac:dyDescent="0.3">
      <c r="B73" s="3" t="s">
        <v>57</v>
      </c>
      <c r="C73" s="3" t="s">
        <v>158</v>
      </c>
      <c r="D73" s="3" t="s">
        <v>175</v>
      </c>
      <c r="E73" s="13" t="s">
        <v>176</v>
      </c>
      <c r="F73" s="3">
        <v>6.2</v>
      </c>
      <c r="G73" s="3"/>
      <c r="H73" s="3"/>
      <c r="I73" s="3"/>
      <c r="J73" s="3">
        <v>0</v>
      </c>
      <c r="K73" s="3"/>
      <c r="L73" s="3"/>
      <c r="M73" s="3"/>
      <c r="N73" s="14" t="s">
        <v>24</v>
      </c>
      <c r="O73" s="3">
        <v>0</v>
      </c>
      <c r="P73" s="3">
        <v>6.2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6.2</v>
      </c>
      <c r="AK73" s="3" t="s">
        <v>51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</row>
    <row r="74" spans="2:63" x14ac:dyDescent="0.3">
      <c r="B74" s="3" t="s">
        <v>57</v>
      </c>
      <c r="C74" s="3" t="s">
        <v>172</v>
      </c>
      <c r="D74" s="3" t="s">
        <v>173</v>
      </c>
      <c r="E74" s="13" t="s">
        <v>174</v>
      </c>
      <c r="F74" s="3">
        <v>6.2</v>
      </c>
      <c r="G74" s="3"/>
      <c r="H74" s="3"/>
      <c r="I74" s="3"/>
      <c r="J74" s="3">
        <v>0</v>
      </c>
      <c r="K74" s="3"/>
      <c r="L74" s="3"/>
      <c r="M74" s="3"/>
      <c r="N74" s="14" t="s">
        <v>24</v>
      </c>
      <c r="O74" s="3">
        <v>0</v>
      </c>
      <c r="P74" s="3">
        <v>6.2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6.2</v>
      </c>
      <c r="AK74" s="3" t="s">
        <v>51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</row>
    <row r="75" spans="2:63" x14ac:dyDescent="0.3">
      <c r="B75" s="3" t="s">
        <v>57</v>
      </c>
      <c r="C75" s="3" t="s">
        <v>185</v>
      </c>
      <c r="D75" s="3" t="s">
        <v>186</v>
      </c>
      <c r="E75" s="13" t="s">
        <v>187</v>
      </c>
      <c r="F75" s="3">
        <v>232.6</v>
      </c>
      <c r="G75" s="3"/>
      <c r="H75" s="3"/>
      <c r="I75" s="3"/>
      <c r="J75" s="3">
        <v>0</v>
      </c>
      <c r="K75" s="3"/>
      <c r="L75" s="3"/>
      <c r="M75" s="3"/>
      <c r="N75" s="14" t="s">
        <v>25</v>
      </c>
      <c r="O75" s="3">
        <v>44.8</v>
      </c>
      <c r="P75" s="3">
        <v>24.8</v>
      </c>
      <c r="Q75" s="3">
        <v>55.6</v>
      </c>
      <c r="R75" s="3">
        <v>0</v>
      </c>
      <c r="S75" s="3">
        <v>71.2</v>
      </c>
      <c r="T75" s="3">
        <v>20.399999999999999</v>
      </c>
      <c r="U75" s="3">
        <v>0</v>
      </c>
      <c r="V75" s="3">
        <v>0</v>
      </c>
      <c r="W75" s="3">
        <v>15.8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232.6</v>
      </c>
      <c r="AK75" s="3" t="s">
        <v>51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2:63" x14ac:dyDescent="0.3">
      <c r="B76" s="3" t="s">
        <v>57</v>
      </c>
      <c r="C76" s="3" t="s">
        <v>188</v>
      </c>
      <c r="D76" s="3" t="s">
        <v>189</v>
      </c>
      <c r="E76" s="13" t="s">
        <v>190</v>
      </c>
      <c r="F76" s="3">
        <v>27.85</v>
      </c>
      <c r="G76" s="3"/>
      <c r="H76" s="3"/>
      <c r="I76" s="3"/>
      <c r="J76" s="3">
        <v>0</v>
      </c>
      <c r="K76" s="3"/>
      <c r="L76" s="3"/>
      <c r="M76" s="3"/>
      <c r="N76" s="14" t="s">
        <v>26</v>
      </c>
      <c r="O76" s="3">
        <v>0</v>
      </c>
      <c r="P76" s="3">
        <v>6.2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21.65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27.85</v>
      </c>
      <c r="AK76" s="3" t="s">
        <v>51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2:63" x14ac:dyDescent="0.3">
      <c r="B77" s="3" t="s">
        <v>57</v>
      </c>
      <c r="C77" s="3" t="s">
        <v>188</v>
      </c>
      <c r="D77" s="3" t="s">
        <v>193</v>
      </c>
      <c r="E77" s="13" t="s">
        <v>194</v>
      </c>
      <c r="F77" s="3">
        <v>21.65</v>
      </c>
      <c r="G77" s="3"/>
      <c r="H77" s="3"/>
      <c r="I77" s="3"/>
      <c r="J77" s="3">
        <v>0</v>
      </c>
      <c r="K77" s="3"/>
      <c r="L77" s="3"/>
      <c r="M77" s="3"/>
      <c r="N77" s="14" t="s">
        <v>27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21.65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21.65</v>
      </c>
      <c r="AK77" s="3" t="s">
        <v>51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2:63" x14ac:dyDescent="0.3">
      <c r="B78" s="3" t="s">
        <v>57</v>
      </c>
      <c r="C78" s="3" t="s">
        <v>188</v>
      </c>
      <c r="D78" s="3" t="s">
        <v>191</v>
      </c>
      <c r="E78" s="13" t="s">
        <v>192</v>
      </c>
      <c r="F78" s="3">
        <v>21.65</v>
      </c>
      <c r="G78" s="3"/>
      <c r="H78" s="3"/>
      <c r="I78" s="3"/>
      <c r="J78" s="3">
        <v>0</v>
      </c>
      <c r="K78" s="3"/>
      <c r="L78" s="3"/>
      <c r="M78" s="3"/>
      <c r="N78" s="14" t="s">
        <v>27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21.65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21.65</v>
      </c>
      <c r="AK78" s="3" t="s">
        <v>51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</row>
    <row r="79" spans="2:63" x14ac:dyDescent="0.3">
      <c r="B79" s="3" t="s">
        <v>57</v>
      </c>
      <c r="C79" s="3" t="s">
        <v>195</v>
      </c>
      <c r="D79" s="3" t="s">
        <v>196</v>
      </c>
      <c r="E79" s="13" t="s">
        <v>197</v>
      </c>
      <c r="F79" s="3">
        <v>80</v>
      </c>
      <c r="G79" s="3"/>
      <c r="H79" s="3"/>
      <c r="I79" s="3"/>
      <c r="J79" s="3">
        <v>0</v>
      </c>
      <c r="K79" s="3"/>
      <c r="L79" s="3"/>
      <c r="M79" s="3"/>
      <c r="N79" s="14" t="s">
        <v>28</v>
      </c>
      <c r="O79" s="3">
        <v>0</v>
      </c>
      <c r="P79" s="3">
        <v>6.2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73.8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80</v>
      </c>
      <c r="AK79" s="3" t="s">
        <v>51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</row>
    <row r="80" spans="2:63" x14ac:dyDescent="0.3">
      <c r="B80" s="3" t="s">
        <v>57</v>
      </c>
      <c r="C80" s="3" t="s">
        <v>198</v>
      </c>
      <c r="D80" s="3" t="s">
        <v>203</v>
      </c>
      <c r="E80" s="13" t="s">
        <v>204</v>
      </c>
      <c r="F80" s="3">
        <v>6.2</v>
      </c>
      <c r="G80" s="3"/>
      <c r="H80" s="3"/>
      <c r="I80" s="3"/>
      <c r="J80" s="3">
        <v>0</v>
      </c>
      <c r="K80" s="3"/>
      <c r="L80" s="3"/>
      <c r="M80" s="3"/>
      <c r="N80" s="14" t="s">
        <v>24</v>
      </c>
      <c r="O80" s="3">
        <v>0</v>
      </c>
      <c r="P80" s="3">
        <v>6.2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6.2</v>
      </c>
      <c r="AK80" s="3" t="s">
        <v>51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2:63" x14ac:dyDescent="0.3">
      <c r="B81" s="3" t="s">
        <v>57</v>
      </c>
      <c r="C81" s="3" t="s">
        <v>198</v>
      </c>
      <c r="D81" s="3" t="s">
        <v>203</v>
      </c>
      <c r="E81" s="13" t="s">
        <v>221</v>
      </c>
      <c r="F81" s="3">
        <v>6.2</v>
      </c>
      <c r="G81" s="3"/>
      <c r="H81" s="3"/>
      <c r="I81" s="3"/>
      <c r="J81" s="3">
        <v>0</v>
      </c>
      <c r="K81" s="3"/>
      <c r="L81" s="3"/>
      <c r="M81" s="3"/>
      <c r="N81" s="14" t="s">
        <v>24</v>
      </c>
      <c r="O81" s="3">
        <v>0</v>
      </c>
      <c r="P81" s="3">
        <v>6.2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6.2</v>
      </c>
      <c r="AK81" s="3" t="s">
        <v>51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</row>
    <row r="82" spans="2:63" x14ac:dyDescent="0.3">
      <c r="B82" s="3" t="s">
        <v>57</v>
      </c>
      <c r="C82" s="3" t="s">
        <v>198</v>
      </c>
      <c r="D82" s="3" t="s">
        <v>203</v>
      </c>
      <c r="E82" s="13" t="s">
        <v>206</v>
      </c>
      <c r="F82" s="3">
        <v>6.2</v>
      </c>
      <c r="G82" s="3"/>
      <c r="H82" s="3"/>
      <c r="I82" s="3"/>
      <c r="J82" s="3">
        <v>0</v>
      </c>
      <c r="K82" s="3"/>
      <c r="L82" s="3"/>
      <c r="M82" s="3"/>
      <c r="N82" s="14" t="s">
        <v>24</v>
      </c>
      <c r="O82" s="3">
        <v>0</v>
      </c>
      <c r="P82" s="3">
        <v>6.2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6.2</v>
      </c>
      <c r="AK82" s="3" t="s">
        <v>51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2:63" x14ac:dyDescent="0.3">
      <c r="B83" s="3" t="s">
        <v>57</v>
      </c>
      <c r="C83" s="3" t="s">
        <v>198</v>
      </c>
      <c r="D83" s="3" t="s">
        <v>203</v>
      </c>
      <c r="E83" s="13" t="s">
        <v>205</v>
      </c>
      <c r="F83" s="3">
        <v>6.2</v>
      </c>
      <c r="G83" s="3"/>
      <c r="H83" s="3"/>
      <c r="I83" s="3"/>
      <c r="J83" s="3">
        <v>0</v>
      </c>
      <c r="K83" s="3"/>
      <c r="L83" s="3"/>
      <c r="M83" s="3"/>
      <c r="N83" s="14" t="s">
        <v>24</v>
      </c>
      <c r="O83" s="3">
        <v>0</v>
      </c>
      <c r="P83" s="3">
        <v>6.2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6.2</v>
      </c>
      <c r="AK83" s="3" t="s">
        <v>51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2:63" x14ac:dyDescent="0.3">
      <c r="B84" s="3" t="s">
        <v>57</v>
      </c>
      <c r="C84" s="3" t="s">
        <v>198</v>
      </c>
      <c r="D84" s="3" t="s">
        <v>203</v>
      </c>
      <c r="E84" s="13" t="s">
        <v>207</v>
      </c>
      <c r="F84" s="3">
        <v>6.2</v>
      </c>
      <c r="G84" s="3"/>
      <c r="H84" s="3"/>
      <c r="I84" s="3"/>
      <c r="J84" s="3">
        <v>0</v>
      </c>
      <c r="K84" s="3"/>
      <c r="L84" s="3"/>
      <c r="M84" s="3"/>
      <c r="N84" s="14" t="s">
        <v>24</v>
      </c>
      <c r="O84" s="3">
        <v>0</v>
      </c>
      <c r="P84" s="3">
        <v>6.2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6.2</v>
      </c>
      <c r="AK84" s="3" t="s">
        <v>51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</row>
    <row r="85" spans="2:63" x14ac:dyDescent="0.3">
      <c r="B85" s="3" t="s">
        <v>57</v>
      </c>
      <c r="C85" s="3" t="s">
        <v>198</v>
      </c>
      <c r="D85" s="3" t="s">
        <v>199</v>
      </c>
      <c r="E85" s="13" t="s">
        <v>200</v>
      </c>
      <c r="F85" s="3">
        <v>6.2</v>
      </c>
      <c r="G85" s="3"/>
      <c r="H85" s="3"/>
      <c r="I85" s="3"/>
      <c r="J85" s="3">
        <v>0</v>
      </c>
      <c r="K85" s="3"/>
      <c r="L85" s="3"/>
      <c r="M85" s="3"/>
      <c r="N85" s="14" t="s">
        <v>24</v>
      </c>
      <c r="O85" s="3">
        <v>0</v>
      </c>
      <c r="P85" s="3">
        <v>6.2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6.2</v>
      </c>
      <c r="AK85" s="3" t="s">
        <v>51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</row>
    <row r="86" spans="2:63" x14ac:dyDescent="0.3">
      <c r="B86" s="3" t="s">
        <v>57</v>
      </c>
      <c r="C86" s="3" t="s">
        <v>198</v>
      </c>
      <c r="D86" s="3" t="s">
        <v>199</v>
      </c>
      <c r="E86" s="13" t="s">
        <v>202</v>
      </c>
      <c r="F86" s="3">
        <v>6.2</v>
      </c>
      <c r="G86" s="3"/>
      <c r="H86" s="3"/>
      <c r="I86" s="3"/>
      <c r="J86" s="3">
        <v>0</v>
      </c>
      <c r="K86" s="3"/>
      <c r="L86" s="3"/>
      <c r="M86" s="3"/>
      <c r="N86" s="14" t="s">
        <v>24</v>
      </c>
      <c r="O86" s="3">
        <v>0</v>
      </c>
      <c r="P86" s="3">
        <v>6.2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6.2</v>
      </c>
      <c r="AK86" s="3" t="s">
        <v>51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2:63" x14ac:dyDescent="0.3">
      <c r="B87" s="3" t="s">
        <v>57</v>
      </c>
      <c r="C87" s="3" t="s">
        <v>198</v>
      </c>
      <c r="D87" s="3" t="s">
        <v>199</v>
      </c>
      <c r="E87" s="13" t="s">
        <v>201</v>
      </c>
      <c r="F87" s="3">
        <v>6.2</v>
      </c>
      <c r="G87" s="3"/>
      <c r="H87" s="3"/>
      <c r="I87" s="3"/>
      <c r="J87" s="3">
        <v>0</v>
      </c>
      <c r="K87" s="3"/>
      <c r="L87" s="3"/>
      <c r="M87" s="3"/>
      <c r="N87" s="14" t="s">
        <v>24</v>
      </c>
      <c r="O87" s="3">
        <v>0</v>
      </c>
      <c r="P87" s="3">
        <v>6.2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6.2</v>
      </c>
      <c r="AK87" s="3" t="s">
        <v>51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2:63" x14ac:dyDescent="0.3">
      <c r="B88" s="3" t="s">
        <v>57</v>
      </c>
      <c r="C88" s="3" t="s">
        <v>198</v>
      </c>
      <c r="D88" s="3" t="s">
        <v>208</v>
      </c>
      <c r="E88" s="13" t="s">
        <v>209</v>
      </c>
      <c r="F88" s="3">
        <v>6.2</v>
      </c>
      <c r="G88" s="3"/>
      <c r="H88" s="3"/>
      <c r="I88" s="3"/>
      <c r="J88" s="3">
        <v>0</v>
      </c>
      <c r="K88" s="3"/>
      <c r="L88" s="3"/>
      <c r="M88" s="3"/>
      <c r="N88" s="14" t="s">
        <v>24</v>
      </c>
      <c r="O88" s="3">
        <v>0</v>
      </c>
      <c r="P88" s="3">
        <v>6.2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6.2</v>
      </c>
      <c r="AK88" s="3" t="s">
        <v>51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2:63" x14ac:dyDescent="0.3">
      <c r="B89" s="3" t="s">
        <v>57</v>
      </c>
      <c r="C89" s="3" t="s">
        <v>210</v>
      </c>
      <c r="D89" s="3" t="s">
        <v>211</v>
      </c>
      <c r="E89" s="13" t="s">
        <v>212</v>
      </c>
      <c r="F89" s="3">
        <v>6.2</v>
      </c>
      <c r="G89" s="3"/>
      <c r="H89" s="3"/>
      <c r="I89" s="3"/>
      <c r="J89" s="3">
        <v>0</v>
      </c>
      <c r="K89" s="3"/>
      <c r="L89" s="3"/>
      <c r="M89" s="3"/>
      <c r="N89" s="14" t="s">
        <v>24</v>
      </c>
      <c r="O89" s="3">
        <v>0</v>
      </c>
      <c r="P89" s="3">
        <v>6.2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6.2</v>
      </c>
      <c r="AK89" s="3" t="s">
        <v>51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2:63" x14ac:dyDescent="0.3">
      <c r="B90" s="3" t="s">
        <v>57</v>
      </c>
      <c r="C90" s="3" t="s">
        <v>210</v>
      </c>
      <c r="D90" s="3" t="s">
        <v>211</v>
      </c>
      <c r="E90" s="13" t="s">
        <v>213</v>
      </c>
      <c r="F90" s="3">
        <v>6.2</v>
      </c>
      <c r="G90" s="3"/>
      <c r="H90" s="3"/>
      <c r="I90" s="3"/>
      <c r="J90" s="3">
        <v>0</v>
      </c>
      <c r="K90" s="3"/>
      <c r="L90" s="3"/>
      <c r="M90" s="3"/>
      <c r="N90" s="14" t="s">
        <v>24</v>
      </c>
      <c r="O90" s="3">
        <v>0</v>
      </c>
      <c r="P90" s="3">
        <v>6.2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6.2</v>
      </c>
      <c r="AK90" s="3" t="s">
        <v>51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2:63" x14ac:dyDescent="0.3">
      <c r="B91" s="3" t="s">
        <v>57</v>
      </c>
      <c r="C91" s="3" t="s">
        <v>210</v>
      </c>
      <c r="D91" s="3" t="s">
        <v>214</v>
      </c>
      <c r="E91" s="13" t="s">
        <v>215</v>
      </c>
      <c r="F91" s="3">
        <v>6.2</v>
      </c>
      <c r="G91" s="3"/>
      <c r="H91" s="3"/>
      <c r="I91" s="3"/>
      <c r="J91" s="3">
        <v>0</v>
      </c>
      <c r="K91" s="3"/>
      <c r="L91" s="3"/>
      <c r="M91" s="3"/>
      <c r="N91" s="14" t="s">
        <v>24</v>
      </c>
      <c r="O91" s="3">
        <v>0</v>
      </c>
      <c r="P91" s="3">
        <v>6.2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6.2</v>
      </c>
      <c r="AK91" s="3" t="s">
        <v>51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2:63" x14ac:dyDescent="0.3">
      <c r="B92" s="3" t="s">
        <v>57</v>
      </c>
      <c r="C92" s="3" t="s">
        <v>210</v>
      </c>
      <c r="D92" s="3" t="s">
        <v>216</v>
      </c>
      <c r="E92" s="13" t="s">
        <v>218</v>
      </c>
      <c r="F92" s="3">
        <v>6.2</v>
      </c>
      <c r="G92" s="3"/>
      <c r="H92" s="3"/>
      <c r="I92" s="3"/>
      <c r="J92" s="3">
        <v>0</v>
      </c>
      <c r="K92" s="3"/>
      <c r="L92" s="3"/>
      <c r="M92" s="3"/>
      <c r="N92" s="14" t="s">
        <v>24</v>
      </c>
      <c r="O92" s="3">
        <v>0</v>
      </c>
      <c r="P92" s="3">
        <v>6.2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6.2</v>
      </c>
      <c r="AK92" s="3" t="s">
        <v>51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2:63" x14ac:dyDescent="0.3">
      <c r="B93" s="3" t="s">
        <v>57</v>
      </c>
      <c r="C93" s="3" t="s">
        <v>210</v>
      </c>
      <c r="D93" s="3" t="s">
        <v>216</v>
      </c>
      <c r="E93" s="13" t="s">
        <v>217</v>
      </c>
      <c r="F93" s="3">
        <v>6.2</v>
      </c>
      <c r="G93" s="3"/>
      <c r="H93" s="3"/>
      <c r="I93" s="3"/>
      <c r="J93" s="3">
        <v>0</v>
      </c>
      <c r="K93" s="3"/>
      <c r="L93" s="3"/>
      <c r="M93" s="3"/>
      <c r="N93" s="14" t="s">
        <v>24</v>
      </c>
      <c r="O93" s="3">
        <v>0</v>
      </c>
      <c r="P93" s="3">
        <v>6.2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6.2</v>
      </c>
      <c r="AK93" s="3" t="s">
        <v>51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</sheetData>
  <sortState ref="B5:BK92">
    <sortCondition ref="B5:B92"/>
    <sortCondition ref="C5:C92"/>
    <sortCondition ref="D5:D92"/>
    <sortCondition ref="E5:E92"/>
  </sortState>
  <mergeCells count="2">
    <mergeCell ref="N2:AJ2"/>
    <mergeCell ref="AK2:BK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C108"/>
  <sheetViews>
    <sheetView zoomScale="80" zoomScaleNormal="80" workbookViewId="0">
      <selection activeCell="E27" sqref="E27"/>
    </sheetView>
  </sheetViews>
  <sheetFormatPr defaultRowHeight="14.4" x14ac:dyDescent="0.3"/>
  <cols>
    <col min="1" max="1" width="8.88671875" style="2"/>
    <col min="2" max="4" width="19.5546875" style="1" customWidth="1"/>
    <col min="5" max="5" width="29.44140625" style="1" customWidth="1"/>
    <col min="6" max="6" width="12.5546875" style="1" customWidth="1"/>
    <col min="7" max="55" width="8.88671875" style="1"/>
  </cols>
  <sheetData>
    <row r="2" spans="2:55" x14ac:dyDescent="0.3">
      <c r="F2" s="17" t="s">
        <v>54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 t="s">
        <v>55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2:55" x14ac:dyDescent="0.3">
      <c r="F3" s="3" t="s">
        <v>258</v>
      </c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12</v>
      </c>
      <c r="S3" s="3" t="s">
        <v>13</v>
      </c>
      <c r="T3" s="3" t="s">
        <v>14</v>
      </c>
      <c r="U3" s="3" t="s">
        <v>15</v>
      </c>
      <c r="V3" s="3" t="s">
        <v>16</v>
      </c>
      <c r="W3" s="3" t="s">
        <v>17</v>
      </c>
      <c r="X3" s="3" t="s">
        <v>18</v>
      </c>
      <c r="Y3" s="3" t="s">
        <v>19</v>
      </c>
      <c r="Z3" s="3" t="s">
        <v>20</v>
      </c>
      <c r="AA3" s="3" t="s">
        <v>21</v>
      </c>
      <c r="AB3" s="7" t="s">
        <v>22</v>
      </c>
      <c r="AC3" s="3" t="s">
        <v>0</v>
      </c>
      <c r="AD3" s="3" t="s">
        <v>47</v>
      </c>
      <c r="AE3" s="3" t="s">
        <v>48</v>
      </c>
      <c r="AF3" s="3" t="s">
        <v>49</v>
      </c>
      <c r="AG3" s="3" t="s">
        <v>50</v>
      </c>
      <c r="AH3" s="3" t="s">
        <v>1</v>
      </c>
      <c r="AI3" s="3" t="s">
        <v>2</v>
      </c>
      <c r="AJ3" s="3" t="s">
        <v>3</v>
      </c>
      <c r="AK3" s="3" t="s">
        <v>4</v>
      </c>
      <c r="AL3" s="3" t="s">
        <v>5</v>
      </c>
      <c r="AM3" s="3" t="s">
        <v>6</v>
      </c>
      <c r="AN3" s="3" t="s">
        <v>7</v>
      </c>
      <c r="AO3" s="3" t="s">
        <v>8</v>
      </c>
      <c r="AP3" s="3" t="s">
        <v>9</v>
      </c>
      <c r="AQ3" s="3" t="s">
        <v>10</v>
      </c>
      <c r="AR3" s="3" t="s">
        <v>11</v>
      </c>
      <c r="AS3" s="3" t="s">
        <v>12</v>
      </c>
      <c r="AT3" s="3" t="s">
        <v>13</v>
      </c>
      <c r="AU3" s="3" t="s">
        <v>14</v>
      </c>
      <c r="AV3" s="3" t="s">
        <v>15</v>
      </c>
      <c r="AW3" s="3" t="s">
        <v>16</v>
      </c>
      <c r="AX3" s="3" t="s">
        <v>17</v>
      </c>
      <c r="AY3" s="3" t="s">
        <v>18</v>
      </c>
      <c r="AZ3" s="3" t="s">
        <v>19</v>
      </c>
      <c r="BA3" s="3" t="s">
        <v>20</v>
      </c>
      <c r="BB3" s="3" t="s">
        <v>21</v>
      </c>
      <c r="BC3" s="7" t="s">
        <v>22</v>
      </c>
    </row>
    <row r="4" spans="2:55" x14ac:dyDescent="0.3">
      <c r="B4" s="8" t="s">
        <v>259</v>
      </c>
      <c r="C4" s="8" t="s">
        <v>260</v>
      </c>
      <c r="D4" s="8" t="s">
        <v>261</v>
      </c>
      <c r="E4" s="8" t="s">
        <v>262</v>
      </c>
      <c r="F4" s="3" t="s">
        <v>23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 t="s">
        <v>51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</row>
    <row r="5" spans="2:55" x14ac:dyDescent="0.3">
      <c r="B5" s="3" t="s">
        <v>56</v>
      </c>
      <c r="C5" s="4" t="s">
        <v>60</v>
      </c>
      <c r="D5" s="4" t="s">
        <v>62</v>
      </c>
      <c r="E5" s="4" t="s">
        <v>63</v>
      </c>
      <c r="F5" s="3" t="s">
        <v>29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73.8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73.8</v>
      </c>
      <c r="AC5" s="3" t="s">
        <v>52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6.95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59.75</v>
      </c>
      <c r="AY5" s="3">
        <v>0</v>
      </c>
      <c r="AZ5" s="3">
        <v>0</v>
      </c>
      <c r="BA5" s="3">
        <v>0</v>
      </c>
      <c r="BB5" s="3">
        <v>0</v>
      </c>
      <c r="BC5" s="3">
        <v>66.7</v>
      </c>
    </row>
    <row r="6" spans="2:55" x14ac:dyDescent="0.3">
      <c r="B6" s="3" t="s">
        <v>56</v>
      </c>
      <c r="C6" s="5" t="s">
        <v>256</v>
      </c>
      <c r="D6" s="5" t="s">
        <v>72</v>
      </c>
      <c r="E6" s="6" t="s">
        <v>73</v>
      </c>
      <c r="F6" s="3" t="s">
        <v>32</v>
      </c>
      <c r="G6" s="3">
        <v>0</v>
      </c>
      <c r="H6" s="3">
        <v>6.2</v>
      </c>
      <c r="I6" s="3">
        <v>0</v>
      </c>
      <c r="J6" s="3">
        <v>0</v>
      </c>
      <c r="K6" s="3">
        <v>0</v>
      </c>
      <c r="L6" s="3">
        <v>10.199999999999999</v>
      </c>
      <c r="M6" s="3">
        <v>0</v>
      </c>
      <c r="N6" s="3">
        <v>0</v>
      </c>
      <c r="O6" s="3">
        <v>0</v>
      </c>
      <c r="P6" s="3">
        <v>147.6</v>
      </c>
      <c r="Q6" s="3">
        <v>86.6</v>
      </c>
      <c r="R6" s="3">
        <v>0</v>
      </c>
      <c r="S6" s="3">
        <v>120.4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371</v>
      </c>
      <c r="AC6" s="3" t="s">
        <v>51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</row>
    <row r="7" spans="2:55" x14ac:dyDescent="0.3">
      <c r="B7" s="3" t="s">
        <v>56</v>
      </c>
      <c r="C7" s="5" t="s">
        <v>256</v>
      </c>
      <c r="D7" s="5" t="s">
        <v>74</v>
      </c>
      <c r="E7" s="6" t="s">
        <v>75</v>
      </c>
      <c r="F7" s="3" t="s">
        <v>46</v>
      </c>
      <c r="G7" s="3">
        <v>0</v>
      </c>
      <c r="H7" s="3">
        <v>6.2</v>
      </c>
      <c r="I7" s="3">
        <v>0</v>
      </c>
      <c r="J7" s="3">
        <v>0</v>
      </c>
      <c r="K7" s="3">
        <v>0</v>
      </c>
      <c r="L7" s="3">
        <v>10.199999999999999</v>
      </c>
      <c r="M7" s="3">
        <v>0</v>
      </c>
      <c r="N7" s="3">
        <v>0</v>
      </c>
      <c r="O7" s="3">
        <v>0</v>
      </c>
      <c r="P7" s="3">
        <v>73.8</v>
      </c>
      <c r="Q7" s="3">
        <v>0</v>
      </c>
      <c r="R7" s="3">
        <v>0</v>
      </c>
      <c r="S7" s="3">
        <v>120.4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210.6</v>
      </c>
      <c r="AC7" s="3" t="s">
        <v>51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</row>
    <row r="8" spans="2:55" x14ac:dyDescent="0.3">
      <c r="B8" s="3" t="s">
        <v>56</v>
      </c>
      <c r="C8" s="4" t="s">
        <v>61</v>
      </c>
      <c r="D8" s="4" t="s">
        <v>64</v>
      </c>
      <c r="E8" s="4" t="s">
        <v>65</v>
      </c>
      <c r="F8" s="3" t="s">
        <v>29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73.8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73.8</v>
      </c>
      <c r="AC8" s="3" t="s">
        <v>51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</row>
    <row r="9" spans="2:55" x14ac:dyDescent="0.3">
      <c r="B9" s="3" t="s">
        <v>56</v>
      </c>
      <c r="C9" s="4" t="s">
        <v>61</v>
      </c>
      <c r="D9" s="4" t="s">
        <v>68</v>
      </c>
      <c r="E9" s="4" t="s">
        <v>69</v>
      </c>
      <c r="F9" s="3" t="s">
        <v>28</v>
      </c>
      <c r="G9" s="3">
        <v>0</v>
      </c>
      <c r="H9" s="3">
        <v>6.2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73.8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80</v>
      </c>
      <c r="AC9" s="3" t="s">
        <v>51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</row>
    <row r="10" spans="2:55" x14ac:dyDescent="0.3">
      <c r="B10" s="3" t="s">
        <v>56</v>
      </c>
      <c r="C10" s="4" t="s">
        <v>61</v>
      </c>
      <c r="D10" s="4" t="s">
        <v>66</v>
      </c>
      <c r="E10" s="4" t="s">
        <v>67</v>
      </c>
      <c r="F10" s="3" t="e">
        <f>---GGTAAAACTCGTGCCAGC</f>
        <v>#NAME?</v>
      </c>
      <c r="G10" s="3" t="s">
        <v>30</v>
      </c>
      <c r="H10" s="3" t="s">
        <v>30</v>
      </c>
      <c r="I10" s="3" t="s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 t="s">
        <v>30</v>
      </c>
      <c r="AC10" s="3" t="s">
        <v>51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</row>
    <row r="11" spans="2:55" x14ac:dyDescent="0.3">
      <c r="B11" s="3" t="s">
        <v>56</v>
      </c>
      <c r="C11" s="5" t="s">
        <v>257</v>
      </c>
      <c r="D11" s="5" t="s">
        <v>70</v>
      </c>
      <c r="E11" s="6" t="s">
        <v>71</v>
      </c>
      <c r="F11" s="3" t="s">
        <v>31</v>
      </c>
      <c r="G11" s="3">
        <v>0</v>
      </c>
      <c r="H11" s="3">
        <v>6.2</v>
      </c>
      <c r="I11" s="3">
        <v>0</v>
      </c>
      <c r="J11" s="3">
        <v>0</v>
      </c>
      <c r="K11" s="3">
        <v>0</v>
      </c>
      <c r="L11" s="3">
        <v>20.399999999999999</v>
      </c>
      <c r="M11" s="3">
        <v>94</v>
      </c>
      <c r="N11" s="3">
        <v>0</v>
      </c>
      <c r="O11" s="3">
        <v>0</v>
      </c>
      <c r="P11" s="3">
        <v>73.8</v>
      </c>
      <c r="Q11" s="3">
        <v>0</v>
      </c>
      <c r="R11" s="3">
        <v>51</v>
      </c>
      <c r="S11" s="3">
        <v>240.8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486.2</v>
      </c>
      <c r="AC11" s="3" t="s">
        <v>51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</row>
    <row r="12" spans="2:55" x14ac:dyDescent="0.3">
      <c r="B12" s="3" t="s">
        <v>56</v>
      </c>
      <c r="C12" s="5" t="s">
        <v>257</v>
      </c>
      <c r="D12" s="5" t="s">
        <v>70</v>
      </c>
      <c r="E12" s="6" t="s">
        <v>71</v>
      </c>
      <c r="F12" s="3" t="s">
        <v>31</v>
      </c>
      <c r="G12" s="3">
        <v>0</v>
      </c>
      <c r="H12" s="3">
        <v>6.2</v>
      </c>
      <c r="I12" s="3">
        <v>0</v>
      </c>
      <c r="J12" s="3">
        <v>0</v>
      </c>
      <c r="K12" s="3">
        <v>0</v>
      </c>
      <c r="L12" s="3">
        <v>20.399999999999999</v>
      </c>
      <c r="M12" s="3">
        <v>94</v>
      </c>
      <c r="N12" s="3">
        <v>0</v>
      </c>
      <c r="O12" s="3">
        <v>0</v>
      </c>
      <c r="P12" s="3">
        <v>73.8</v>
      </c>
      <c r="Q12" s="3">
        <v>0</v>
      </c>
      <c r="R12" s="3">
        <v>51</v>
      </c>
      <c r="S12" s="3">
        <v>240.8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486.2</v>
      </c>
      <c r="AC12" s="3" t="s">
        <v>51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</row>
    <row r="13" spans="2:55" x14ac:dyDescent="0.3">
      <c r="B13" s="3" t="s">
        <v>59</v>
      </c>
      <c r="C13" s="4" t="s">
        <v>248</v>
      </c>
      <c r="D13" s="4" t="s">
        <v>102</v>
      </c>
      <c r="E13" s="4" t="s">
        <v>103</v>
      </c>
      <c r="F13" s="3" t="s">
        <v>36</v>
      </c>
      <c r="G13" s="3">
        <v>0</v>
      </c>
      <c r="H13" s="3">
        <v>0</v>
      </c>
      <c r="I13" s="3">
        <v>6.95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73.8</v>
      </c>
      <c r="Q13" s="3">
        <v>0</v>
      </c>
      <c r="R13" s="3">
        <v>0</v>
      </c>
      <c r="S13" s="3">
        <v>30.1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110.85</v>
      </c>
      <c r="AC13" s="3" t="s">
        <v>51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</row>
    <row r="14" spans="2:55" x14ac:dyDescent="0.3">
      <c r="B14" s="3" t="s">
        <v>59</v>
      </c>
      <c r="C14" s="4" t="s">
        <v>239</v>
      </c>
      <c r="D14" s="4" t="s">
        <v>81</v>
      </c>
      <c r="E14" s="4" t="s">
        <v>238</v>
      </c>
      <c r="F14" s="3" t="s">
        <v>38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73.8</v>
      </c>
      <c r="Q14" s="3">
        <v>0</v>
      </c>
      <c r="R14" s="3">
        <v>0</v>
      </c>
      <c r="S14" s="3">
        <v>30.1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103.9</v>
      </c>
      <c r="AC14" s="3" t="s">
        <v>51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</row>
    <row r="15" spans="2:55" x14ac:dyDescent="0.3">
      <c r="B15" s="3" t="s">
        <v>59</v>
      </c>
      <c r="C15" s="4" t="s">
        <v>239</v>
      </c>
      <c r="D15" s="4" t="s">
        <v>88</v>
      </c>
      <c r="E15" s="4" t="s">
        <v>89</v>
      </c>
      <c r="F15" s="3" t="s">
        <v>38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73.8</v>
      </c>
      <c r="Q15" s="3">
        <v>0</v>
      </c>
      <c r="R15" s="3">
        <v>0</v>
      </c>
      <c r="S15" s="3">
        <v>30.1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103.9</v>
      </c>
      <c r="AC15" s="3" t="s">
        <v>51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</row>
    <row r="16" spans="2:55" x14ac:dyDescent="0.3">
      <c r="B16" s="3" t="s">
        <v>59</v>
      </c>
      <c r="C16" s="4" t="s">
        <v>236</v>
      </c>
      <c r="D16" s="4" t="s">
        <v>77</v>
      </c>
      <c r="E16" s="4" t="s">
        <v>78</v>
      </c>
      <c r="F16" s="3" t="s">
        <v>36</v>
      </c>
      <c r="G16" s="3">
        <v>0</v>
      </c>
      <c r="H16" s="3">
        <v>0</v>
      </c>
      <c r="I16" s="3">
        <v>6.95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73.8</v>
      </c>
      <c r="Q16" s="3">
        <v>0</v>
      </c>
      <c r="R16" s="3">
        <v>0</v>
      </c>
      <c r="S16" s="3">
        <v>30.1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110.85</v>
      </c>
      <c r="AC16" s="3" t="s">
        <v>51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</row>
    <row r="17" spans="2:55" x14ac:dyDescent="0.3">
      <c r="B17" s="3" t="s">
        <v>59</v>
      </c>
      <c r="C17" s="4" t="s">
        <v>242</v>
      </c>
      <c r="D17" s="4" t="s">
        <v>86</v>
      </c>
      <c r="E17" s="4" t="s">
        <v>87</v>
      </c>
      <c r="F17" s="3" t="s">
        <v>37</v>
      </c>
      <c r="G17" s="3">
        <v>0</v>
      </c>
      <c r="H17" s="3">
        <v>24.8</v>
      </c>
      <c r="I17" s="3">
        <v>13.9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73.8</v>
      </c>
      <c r="Q17" s="3">
        <v>0</v>
      </c>
      <c r="R17" s="3">
        <v>51</v>
      </c>
      <c r="S17" s="3">
        <v>60.2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223.7</v>
      </c>
      <c r="AC17" s="3" t="s">
        <v>51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</row>
    <row r="18" spans="2:55" x14ac:dyDescent="0.3">
      <c r="B18" s="3" t="s">
        <v>59</v>
      </c>
      <c r="C18" s="4" t="s">
        <v>247</v>
      </c>
      <c r="D18" s="4" t="s">
        <v>100</v>
      </c>
      <c r="E18" s="4" t="s">
        <v>101</v>
      </c>
      <c r="F18" s="3" t="s">
        <v>43</v>
      </c>
      <c r="G18" s="3">
        <v>0</v>
      </c>
      <c r="H18" s="3">
        <v>0</v>
      </c>
      <c r="I18" s="3">
        <v>6.95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73.8</v>
      </c>
      <c r="Q18" s="3">
        <v>0</v>
      </c>
      <c r="R18" s="3">
        <v>51</v>
      </c>
      <c r="S18" s="3">
        <v>60.2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191.95</v>
      </c>
      <c r="AC18" s="3" t="s">
        <v>51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</row>
    <row r="19" spans="2:55" x14ac:dyDescent="0.3">
      <c r="B19" s="3" t="s">
        <v>59</v>
      </c>
      <c r="C19" s="4" t="s">
        <v>241</v>
      </c>
      <c r="D19" s="4" t="s">
        <v>84</v>
      </c>
      <c r="E19" s="4" t="s">
        <v>85</v>
      </c>
      <c r="F19" s="3" t="s">
        <v>40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73.8</v>
      </c>
      <c r="Q19" s="3">
        <v>0</v>
      </c>
      <c r="R19" s="3">
        <v>51</v>
      </c>
      <c r="S19" s="3">
        <v>60.2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185</v>
      </c>
      <c r="AC19" s="3" t="s">
        <v>51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</row>
    <row r="20" spans="2:55" x14ac:dyDescent="0.3">
      <c r="B20" s="3" t="s">
        <v>59</v>
      </c>
      <c r="C20" s="4" t="s">
        <v>245</v>
      </c>
      <c r="D20" s="4" t="s">
        <v>98</v>
      </c>
      <c r="E20" s="4" t="s">
        <v>99</v>
      </c>
      <c r="F20" s="3" t="s">
        <v>43</v>
      </c>
      <c r="G20" s="3">
        <v>0</v>
      </c>
      <c r="H20" s="3">
        <v>0</v>
      </c>
      <c r="I20" s="3">
        <v>6.95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73.8</v>
      </c>
      <c r="Q20" s="3">
        <v>0</v>
      </c>
      <c r="R20" s="3">
        <v>51</v>
      </c>
      <c r="S20" s="3">
        <v>60.2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191.95</v>
      </c>
      <c r="AC20" s="3" t="s">
        <v>51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</row>
    <row r="21" spans="2:55" x14ac:dyDescent="0.3">
      <c r="B21" s="3" t="s">
        <v>59</v>
      </c>
      <c r="C21" s="4" t="s">
        <v>245</v>
      </c>
      <c r="D21" s="4" t="s">
        <v>94</v>
      </c>
      <c r="E21" s="4" t="s">
        <v>95</v>
      </c>
      <c r="F21" s="3" t="s">
        <v>43</v>
      </c>
      <c r="G21" s="3">
        <v>0</v>
      </c>
      <c r="H21" s="3">
        <v>0</v>
      </c>
      <c r="I21" s="3">
        <v>6.95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73.8</v>
      </c>
      <c r="Q21" s="3">
        <v>0</v>
      </c>
      <c r="R21" s="3">
        <v>51</v>
      </c>
      <c r="S21" s="3">
        <v>60.2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191.95</v>
      </c>
      <c r="AC21" s="3" t="s">
        <v>51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</row>
    <row r="22" spans="2:55" x14ac:dyDescent="0.3">
      <c r="B22" s="3" t="s">
        <v>59</v>
      </c>
      <c r="C22" s="4" t="s">
        <v>249</v>
      </c>
      <c r="D22" s="4" t="s">
        <v>104</v>
      </c>
      <c r="E22" s="4" t="s">
        <v>105</v>
      </c>
      <c r="F22" s="3" t="s">
        <v>43</v>
      </c>
      <c r="G22" s="3">
        <v>0</v>
      </c>
      <c r="H22" s="3">
        <v>0</v>
      </c>
      <c r="I22" s="3">
        <v>6.95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73.8</v>
      </c>
      <c r="Q22" s="3">
        <v>0</v>
      </c>
      <c r="R22" s="3">
        <v>51</v>
      </c>
      <c r="S22" s="3">
        <v>60.2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191.95</v>
      </c>
      <c r="AC22" s="3" t="s">
        <v>51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</row>
    <row r="23" spans="2:55" x14ac:dyDescent="0.3">
      <c r="B23" s="3" t="s">
        <v>59</v>
      </c>
      <c r="C23" s="4" t="s">
        <v>240</v>
      </c>
      <c r="D23" s="4" t="s">
        <v>82</v>
      </c>
      <c r="E23" s="4" t="s">
        <v>83</v>
      </c>
      <c r="F23" s="3" t="s">
        <v>39</v>
      </c>
      <c r="G23" s="3">
        <v>0</v>
      </c>
      <c r="H23" s="3">
        <v>0</v>
      </c>
      <c r="I23" s="3">
        <v>6.95</v>
      </c>
      <c r="J23" s="3">
        <v>0</v>
      </c>
      <c r="K23" s="3">
        <v>0</v>
      </c>
      <c r="L23" s="3">
        <v>0</v>
      </c>
      <c r="M23" s="3">
        <v>47</v>
      </c>
      <c r="N23" s="3">
        <v>0</v>
      </c>
      <c r="O23" s="3">
        <v>0</v>
      </c>
      <c r="P23" s="3">
        <v>73.8</v>
      </c>
      <c r="Q23" s="3">
        <v>0</v>
      </c>
      <c r="R23" s="3">
        <v>0</v>
      </c>
      <c r="S23" s="3">
        <v>30.1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157.85</v>
      </c>
      <c r="AC23" s="3" t="s">
        <v>51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</row>
    <row r="24" spans="2:55" x14ac:dyDescent="0.3">
      <c r="B24" s="3" t="s">
        <v>59</v>
      </c>
      <c r="C24" s="4" t="s">
        <v>235</v>
      </c>
      <c r="D24" s="4" t="s">
        <v>76</v>
      </c>
      <c r="E24" s="4" t="s">
        <v>234</v>
      </c>
      <c r="F24" s="3" t="s">
        <v>35</v>
      </c>
      <c r="G24" s="3">
        <v>0</v>
      </c>
      <c r="H24" s="3">
        <v>12.4</v>
      </c>
      <c r="I24" s="3">
        <v>13.9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73.8</v>
      </c>
      <c r="Q24" s="3">
        <v>0</v>
      </c>
      <c r="R24" s="3">
        <v>0</v>
      </c>
      <c r="S24" s="3">
        <v>30.1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130.19999999999999</v>
      </c>
      <c r="AC24" s="3" t="s">
        <v>51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</row>
    <row r="25" spans="2:55" x14ac:dyDescent="0.3">
      <c r="B25" s="3" t="s">
        <v>59</v>
      </c>
      <c r="C25" s="4" t="s">
        <v>243</v>
      </c>
      <c r="D25" s="4" t="s">
        <v>90</v>
      </c>
      <c r="E25" s="4" t="s">
        <v>91</v>
      </c>
      <c r="F25" s="3" t="s">
        <v>36</v>
      </c>
      <c r="G25" s="3">
        <v>0</v>
      </c>
      <c r="H25" s="3">
        <v>0</v>
      </c>
      <c r="I25" s="3">
        <v>6.95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73.8</v>
      </c>
      <c r="Q25" s="3">
        <v>0</v>
      </c>
      <c r="R25" s="3">
        <v>0</v>
      </c>
      <c r="S25" s="3">
        <v>30.1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110.85</v>
      </c>
      <c r="AC25" s="3" t="s">
        <v>51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</row>
    <row r="26" spans="2:55" x14ac:dyDescent="0.3">
      <c r="B26" s="3" t="s">
        <v>59</v>
      </c>
      <c r="C26" s="4" t="s">
        <v>244</v>
      </c>
      <c r="D26" s="4" t="s">
        <v>92</v>
      </c>
      <c r="E26" s="4" t="s">
        <v>93</v>
      </c>
      <c r="F26" s="3" t="s">
        <v>42</v>
      </c>
      <c r="G26" s="3">
        <v>0</v>
      </c>
      <c r="H26" s="3">
        <v>6.2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73.8</v>
      </c>
      <c r="Q26" s="3">
        <v>0</v>
      </c>
      <c r="R26" s="3">
        <v>51</v>
      </c>
      <c r="S26" s="3">
        <v>60.2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191.2</v>
      </c>
      <c r="AC26" s="3" t="s">
        <v>51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</row>
    <row r="27" spans="2:55" x14ac:dyDescent="0.3">
      <c r="B27" s="3" t="s">
        <v>59</v>
      </c>
      <c r="C27" s="4" t="s">
        <v>246</v>
      </c>
      <c r="D27" s="4" t="s">
        <v>96</v>
      </c>
      <c r="E27" s="4" t="s">
        <v>97</v>
      </c>
      <c r="F27" s="3" t="s">
        <v>36</v>
      </c>
      <c r="G27" s="3">
        <v>0</v>
      </c>
      <c r="H27" s="3">
        <v>0</v>
      </c>
      <c r="I27" s="3">
        <v>6.95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73.8</v>
      </c>
      <c r="Q27" s="3">
        <v>0</v>
      </c>
      <c r="R27" s="3">
        <v>0</v>
      </c>
      <c r="S27" s="3">
        <v>30.1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110.85</v>
      </c>
      <c r="AC27" s="3" t="s">
        <v>51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</row>
    <row r="28" spans="2:55" x14ac:dyDescent="0.3">
      <c r="B28" s="3" t="s">
        <v>59</v>
      </c>
      <c r="C28" s="4" t="s">
        <v>237</v>
      </c>
      <c r="D28" s="4" t="s">
        <v>79</v>
      </c>
      <c r="E28" s="4" t="s">
        <v>80</v>
      </c>
      <c r="F28" s="3" t="s">
        <v>37</v>
      </c>
      <c r="G28" s="3">
        <v>0</v>
      </c>
      <c r="H28" s="3">
        <v>24.8</v>
      </c>
      <c r="I28" s="3">
        <v>13.9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73.8</v>
      </c>
      <c r="Q28" s="3">
        <v>0</v>
      </c>
      <c r="R28" s="3">
        <v>51</v>
      </c>
      <c r="S28" s="3">
        <v>60.2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223.7</v>
      </c>
      <c r="AC28" s="3" t="s">
        <v>51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</row>
    <row r="29" spans="2:55" x14ac:dyDescent="0.3">
      <c r="B29" s="3" t="s">
        <v>58</v>
      </c>
      <c r="C29" s="5" t="s">
        <v>255</v>
      </c>
      <c r="D29" s="5" t="s">
        <v>106</v>
      </c>
      <c r="E29" s="6" t="s">
        <v>254</v>
      </c>
      <c r="F29" s="3" t="s">
        <v>33</v>
      </c>
      <c r="G29" s="3">
        <v>0</v>
      </c>
      <c r="H29" s="3">
        <v>0</v>
      </c>
      <c r="I29" s="3">
        <v>6.95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73.8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80.75</v>
      </c>
      <c r="AC29" s="3" t="s">
        <v>51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</row>
    <row r="30" spans="2:55" x14ac:dyDescent="0.3">
      <c r="B30" s="3" t="s">
        <v>58</v>
      </c>
      <c r="C30" s="5" t="s">
        <v>251</v>
      </c>
      <c r="D30" s="5" t="s">
        <v>116</v>
      </c>
      <c r="E30" s="6" t="s">
        <v>117</v>
      </c>
      <c r="F30" s="3" t="e">
        <f>---GGCTAATCTGGTGCCAGC</f>
        <v>#NAME?</v>
      </c>
      <c r="G30" s="3" t="s">
        <v>30</v>
      </c>
      <c r="H30" s="3" t="s">
        <v>30</v>
      </c>
      <c r="I30" s="3" t="s">
        <v>30</v>
      </c>
      <c r="J30" s="3">
        <v>0</v>
      </c>
      <c r="K30" s="3">
        <v>0</v>
      </c>
      <c r="L30" s="3">
        <v>20.399999999999999</v>
      </c>
      <c r="M30" s="3">
        <v>94</v>
      </c>
      <c r="N30" s="3">
        <v>0</v>
      </c>
      <c r="O30" s="3">
        <v>0</v>
      </c>
      <c r="P30" s="3">
        <v>73.8</v>
      </c>
      <c r="Q30" s="3">
        <v>0</v>
      </c>
      <c r="R30" s="3">
        <v>0</v>
      </c>
      <c r="S30" s="3">
        <v>120.4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 t="s">
        <v>30</v>
      </c>
      <c r="AC30" s="3" t="s">
        <v>51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</row>
    <row r="31" spans="2:55" x14ac:dyDescent="0.3">
      <c r="B31" s="3" t="s">
        <v>58</v>
      </c>
      <c r="C31" s="5" t="s">
        <v>252</v>
      </c>
      <c r="D31" s="5" t="s">
        <v>114</v>
      </c>
      <c r="E31" s="6" t="s">
        <v>115</v>
      </c>
      <c r="F31" s="3" t="s">
        <v>41</v>
      </c>
      <c r="G31" s="3">
        <v>0</v>
      </c>
      <c r="H31" s="3">
        <v>0</v>
      </c>
      <c r="I31" s="3">
        <v>6.95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147.6</v>
      </c>
      <c r="Q31" s="3">
        <v>43.3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197.85</v>
      </c>
      <c r="AC31" s="3" t="s">
        <v>51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</row>
    <row r="32" spans="2:55" x14ac:dyDescent="0.3">
      <c r="B32" s="3" t="s">
        <v>58</v>
      </c>
      <c r="C32" s="5" t="s">
        <v>252</v>
      </c>
      <c r="D32" s="5" t="s">
        <v>112</v>
      </c>
      <c r="E32" s="6" t="s">
        <v>113</v>
      </c>
      <c r="F32" s="3" t="s">
        <v>41</v>
      </c>
      <c r="G32" s="3">
        <v>0</v>
      </c>
      <c r="H32" s="3">
        <v>0</v>
      </c>
      <c r="I32" s="3">
        <v>6.95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147.6</v>
      </c>
      <c r="Q32" s="3">
        <v>43.3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197.85</v>
      </c>
      <c r="AC32" s="3" t="s">
        <v>51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</row>
    <row r="33" spans="2:55" x14ac:dyDescent="0.3">
      <c r="B33" s="3" t="s">
        <v>58</v>
      </c>
      <c r="C33" s="5" t="s">
        <v>250</v>
      </c>
      <c r="D33" s="5" t="s">
        <v>118</v>
      </c>
      <c r="E33" s="6" t="s">
        <v>119</v>
      </c>
      <c r="F33" s="3" t="s">
        <v>45</v>
      </c>
      <c r="G33" s="3">
        <v>0</v>
      </c>
      <c r="H33" s="3">
        <v>0</v>
      </c>
      <c r="I33" s="3">
        <v>6.95</v>
      </c>
      <c r="J33" s="3">
        <v>0</v>
      </c>
      <c r="K33" s="3">
        <v>0</v>
      </c>
      <c r="L33" s="3">
        <v>0</v>
      </c>
      <c r="M33" s="3">
        <v>47</v>
      </c>
      <c r="N33" s="3">
        <v>0</v>
      </c>
      <c r="O33" s="3">
        <v>0</v>
      </c>
      <c r="P33" s="3">
        <v>147.6</v>
      </c>
      <c r="Q33" s="3">
        <v>43.3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244.85</v>
      </c>
      <c r="AC33" s="3" t="s">
        <v>53</v>
      </c>
      <c r="AD33" s="3">
        <v>0</v>
      </c>
      <c r="AE33" s="3">
        <v>0</v>
      </c>
      <c r="AF33" s="3">
        <v>0</v>
      </c>
      <c r="AG33" s="3">
        <v>20.399999999999999</v>
      </c>
      <c r="AH33" s="3">
        <v>0</v>
      </c>
      <c r="AI33" s="3">
        <v>6.2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84.9</v>
      </c>
      <c r="BA33" s="3">
        <v>0</v>
      </c>
      <c r="BB33" s="3">
        <v>0</v>
      </c>
      <c r="BC33" s="3">
        <v>111.5</v>
      </c>
    </row>
    <row r="34" spans="2:55" x14ac:dyDescent="0.3">
      <c r="B34" s="3" t="s">
        <v>58</v>
      </c>
      <c r="C34" s="5" t="s">
        <v>107</v>
      </c>
      <c r="D34" s="5" t="s">
        <v>108</v>
      </c>
      <c r="E34" s="6" t="s">
        <v>109</v>
      </c>
      <c r="F34" s="3" t="s">
        <v>34</v>
      </c>
      <c r="G34" s="3">
        <v>0</v>
      </c>
      <c r="H34" s="3">
        <v>0</v>
      </c>
      <c r="I34" s="3">
        <v>6.95</v>
      </c>
      <c r="J34" s="3">
        <v>0</v>
      </c>
      <c r="K34" s="3">
        <v>0</v>
      </c>
      <c r="L34" s="3">
        <v>0</v>
      </c>
      <c r="M34" s="3">
        <v>47</v>
      </c>
      <c r="N34" s="3">
        <v>0</v>
      </c>
      <c r="O34" s="3">
        <v>0</v>
      </c>
      <c r="P34" s="3">
        <v>147.6</v>
      </c>
      <c r="Q34" s="3">
        <v>43.3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244.85</v>
      </c>
      <c r="AC34" s="3" t="s">
        <v>51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</row>
    <row r="35" spans="2:55" x14ac:dyDescent="0.3">
      <c r="B35" s="3" t="s">
        <v>58</v>
      </c>
      <c r="C35" s="5" t="s">
        <v>253</v>
      </c>
      <c r="D35" s="5" t="s">
        <v>110</v>
      </c>
      <c r="E35" s="6" t="s">
        <v>111</v>
      </c>
      <c r="F35" s="3" t="s">
        <v>41</v>
      </c>
      <c r="G35" s="3">
        <v>0</v>
      </c>
      <c r="H35" s="3">
        <v>0</v>
      </c>
      <c r="I35" s="3">
        <v>6.95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147.6</v>
      </c>
      <c r="Q35" s="3">
        <v>43.3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197.85</v>
      </c>
      <c r="AC35" s="3" t="s">
        <v>51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</row>
    <row r="36" spans="2:55" x14ac:dyDescent="0.3">
      <c r="B36" s="3" t="s">
        <v>57</v>
      </c>
      <c r="C36" s="4" t="s">
        <v>120</v>
      </c>
      <c r="D36" s="4" t="s">
        <v>121</v>
      </c>
      <c r="E36" s="4" t="s">
        <v>122</v>
      </c>
      <c r="F36" s="3" t="s">
        <v>24</v>
      </c>
      <c r="G36" s="3">
        <v>0</v>
      </c>
      <c r="H36" s="3">
        <v>6.2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6.2</v>
      </c>
      <c r="AC36" s="3" t="s">
        <v>51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</row>
    <row r="37" spans="2:55" x14ac:dyDescent="0.3">
      <c r="B37" s="3" t="s">
        <v>57</v>
      </c>
      <c r="C37" s="4" t="s">
        <v>123</v>
      </c>
      <c r="D37" s="4" t="s">
        <v>124</v>
      </c>
      <c r="E37" s="4" t="s">
        <v>125</v>
      </c>
      <c r="F37" s="3" t="s">
        <v>24</v>
      </c>
      <c r="G37" s="3">
        <v>0</v>
      </c>
      <c r="H37" s="3">
        <v>6.2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6.2</v>
      </c>
      <c r="AC37" s="3" t="s">
        <v>51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</row>
    <row r="38" spans="2:55" x14ac:dyDescent="0.3">
      <c r="B38" s="3" t="s">
        <v>57</v>
      </c>
      <c r="C38" s="4" t="s">
        <v>123</v>
      </c>
      <c r="D38" s="4" t="s">
        <v>126</v>
      </c>
      <c r="E38" s="4" t="s">
        <v>127</v>
      </c>
      <c r="F38" s="3" t="s">
        <v>24</v>
      </c>
      <c r="G38" s="3">
        <v>0</v>
      </c>
      <c r="H38" s="3">
        <v>6.2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6.2</v>
      </c>
      <c r="AC38" s="3" t="s">
        <v>51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</row>
    <row r="39" spans="2:55" x14ac:dyDescent="0.3">
      <c r="B39" s="3" t="s">
        <v>57</v>
      </c>
      <c r="C39" s="4" t="s">
        <v>123</v>
      </c>
      <c r="D39" s="4" t="s">
        <v>133</v>
      </c>
      <c r="E39" s="4" t="s">
        <v>134</v>
      </c>
      <c r="F39" s="3" t="s">
        <v>24</v>
      </c>
      <c r="G39" s="3">
        <v>0</v>
      </c>
      <c r="H39" s="3">
        <v>6.2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6.2</v>
      </c>
      <c r="AC39" s="3" t="s">
        <v>51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</row>
    <row r="40" spans="2:55" x14ac:dyDescent="0.3">
      <c r="B40" s="3" t="s">
        <v>57</v>
      </c>
      <c r="C40" s="4" t="s">
        <v>123</v>
      </c>
      <c r="D40" s="4" t="s">
        <v>128</v>
      </c>
      <c r="E40" s="4" t="s">
        <v>130</v>
      </c>
      <c r="F40" s="3" t="s">
        <v>24</v>
      </c>
      <c r="G40" s="3">
        <v>0</v>
      </c>
      <c r="H40" s="3">
        <v>6.2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6.2</v>
      </c>
      <c r="AC40" s="3" t="s">
        <v>51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</row>
    <row r="41" spans="2:55" x14ac:dyDescent="0.3">
      <c r="B41" s="3" t="s">
        <v>57</v>
      </c>
      <c r="C41" s="4" t="s">
        <v>123</v>
      </c>
      <c r="D41" s="4" t="s">
        <v>128</v>
      </c>
      <c r="E41" s="4" t="s">
        <v>131</v>
      </c>
      <c r="F41" s="3" t="s">
        <v>24</v>
      </c>
      <c r="G41" s="3">
        <v>0</v>
      </c>
      <c r="H41" s="3">
        <v>6.2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6.2</v>
      </c>
      <c r="AC41" s="3" t="s">
        <v>51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</row>
    <row r="42" spans="2:55" x14ac:dyDescent="0.3">
      <c r="B42" s="3" t="s">
        <v>57</v>
      </c>
      <c r="C42" s="4" t="s">
        <v>123</v>
      </c>
      <c r="D42" s="4" t="s">
        <v>128</v>
      </c>
      <c r="E42" s="4" t="s">
        <v>129</v>
      </c>
      <c r="F42" s="3" t="s">
        <v>24</v>
      </c>
      <c r="G42" s="3">
        <v>0</v>
      </c>
      <c r="H42" s="3">
        <v>6.2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6.2</v>
      </c>
      <c r="AC42" s="3" t="s">
        <v>51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</row>
    <row r="43" spans="2:55" x14ac:dyDescent="0.3">
      <c r="B43" s="3" t="s">
        <v>57</v>
      </c>
      <c r="C43" s="4" t="s">
        <v>123</v>
      </c>
      <c r="D43" s="4" t="s">
        <v>128</v>
      </c>
      <c r="E43" s="4" t="s">
        <v>132</v>
      </c>
      <c r="F43" s="3" t="s">
        <v>24</v>
      </c>
      <c r="G43" s="3">
        <v>0</v>
      </c>
      <c r="H43" s="3">
        <v>6.2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6.2</v>
      </c>
      <c r="AC43" s="3" t="s">
        <v>51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</row>
    <row r="44" spans="2:55" x14ac:dyDescent="0.3">
      <c r="B44" s="3" t="s">
        <v>57</v>
      </c>
      <c r="C44" s="4" t="s">
        <v>232</v>
      </c>
      <c r="D44" s="4" t="s">
        <v>124</v>
      </c>
      <c r="E44" s="4" t="s">
        <v>125</v>
      </c>
      <c r="F44" s="3" t="s">
        <v>24</v>
      </c>
      <c r="G44" s="3">
        <v>0</v>
      </c>
      <c r="H44" s="3">
        <v>6.2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6.2</v>
      </c>
      <c r="AC44" s="3" t="s">
        <v>51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</row>
    <row r="45" spans="2:55" x14ac:dyDescent="0.3">
      <c r="B45" s="3" t="s">
        <v>57</v>
      </c>
      <c r="C45" s="4" t="s">
        <v>225</v>
      </c>
      <c r="D45" s="4" t="s">
        <v>136</v>
      </c>
      <c r="E45" s="4" t="s">
        <v>226</v>
      </c>
      <c r="F45" s="3" t="s">
        <v>24</v>
      </c>
      <c r="G45" s="3">
        <v>0</v>
      </c>
      <c r="H45" s="3">
        <v>6.2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6.2</v>
      </c>
      <c r="AC45" s="3" t="s">
        <v>51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</row>
    <row r="46" spans="2:55" x14ac:dyDescent="0.3">
      <c r="B46" s="3" t="s">
        <v>57</v>
      </c>
      <c r="C46" s="4" t="s">
        <v>135</v>
      </c>
      <c r="D46" s="4" t="s">
        <v>147</v>
      </c>
      <c r="E46" s="4" t="s">
        <v>148</v>
      </c>
      <c r="F46" s="3" t="s">
        <v>24</v>
      </c>
      <c r="G46" s="3">
        <v>0</v>
      </c>
      <c r="H46" s="3">
        <v>6.2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6.2</v>
      </c>
      <c r="AC46" s="3" t="s">
        <v>51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</row>
    <row r="47" spans="2:55" x14ac:dyDescent="0.3">
      <c r="B47" s="3" t="s">
        <v>57</v>
      </c>
      <c r="C47" s="4" t="s">
        <v>135</v>
      </c>
      <c r="D47" s="4" t="s">
        <v>136</v>
      </c>
      <c r="E47" s="4" t="s">
        <v>137</v>
      </c>
      <c r="F47" s="3" t="s">
        <v>24</v>
      </c>
      <c r="G47" s="3">
        <v>0</v>
      </c>
      <c r="H47" s="3">
        <v>6.2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6.2</v>
      </c>
      <c r="AC47" s="3" t="s">
        <v>51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</row>
    <row r="48" spans="2:55" x14ac:dyDescent="0.3">
      <c r="B48" s="3" t="s">
        <v>57</v>
      </c>
      <c r="C48" s="4" t="s">
        <v>135</v>
      </c>
      <c r="D48" s="4" t="s">
        <v>136</v>
      </c>
      <c r="E48" s="4" t="s">
        <v>138</v>
      </c>
      <c r="F48" s="3" t="s">
        <v>24</v>
      </c>
      <c r="G48" s="3">
        <v>0</v>
      </c>
      <c r="H48" s="3">
        <v>6.2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6.2</v>
      </c>
      <c r="AC48" s="3" t="s">
        <v>51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</row>
    <row r="49" spans="2:55" x14ac:dyDescent="0.3">
      <c r="B49" s="3" t="s">
        <v>57</v>
      </c>
      <c r="C49" s="4" t="s">
        <v>135</v>
      </c>
      <c r="D49" s="4" t="s">
        <v>136</v>
      </c>
      <c r="E49" s="4" t="s">
        <v>138</v>
      </c>
      <c r="F49" s="3" t="s">
        <v>24</v>
      </c>
      <c r="G49" s="3">
        <v>0</v>
      </c>
      <c r="H49" s="3">
        <v>6.2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6.2</v>
      </c>
      <c r="AC49" s="3" t="s">
        <v>51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</row>
    <row r="50" spans="2:55" x14ac:dyDescent="0.3">
      <c r="B50" s="3" t="s">
        <v>57</v>
      </c>
      <c r="C50" s="4" t="s">
        <v>135</v>
      </c>
      <c r="D50" s="4" t="s">
        <v>136</v>
      </c>
      <c r="E50" s="4" t="s">
        <v>138</v>
      </c>
      <c r="F50" s="3" t="s">
        <v>24</v>
      </c>
      <c r="G50" s="3">
        <v>0</v>
      </c>
      <c r="H50" s="3">
        <v>6.2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6.2</v>
      </c>
      <c r="AC50" s="3" t="s">
        <v>51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</row>
    <row r="51" spans="2:55" x14ac:dyDescent="0.3">
      <c r="B51" s="3" t="s">
        <v>57</v>
      </c>
      <c r="C51" s="4" t="s">
        <v>135</v>
      </c>
      <c r="D51" s="4" t="s">
        <v>136</v>
      </c>
      <c r="E51" s="4" t="s">
        <v>142</v>
      </c>
      <c r="F51" s="3" t="s">
        <v>24</v>
      </c>
      <c r="G51" s="3">
        <v>0</v>
      </c>
      <c r="H51" s="3">
        <v>6.2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6.2</v>
      </c>
      <c r="AC51" s="3" t="s">
        <v>51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</row>
    <row r="52" spans="2:55" x14ac:dyDescent="0.3">
      <c r="B52" s="3" t="s">
        <v>57</v>
      </c>
      <c r="C52" s="4" t="s">
        <v>135</v>
      </c>
      <c r="D52" s="4" t="s">
        <v>136</v>
      </c>
      <c r="E52" s="4" t="s">
        <v>142</v>
      </c>
      <c r="F52" s="3" t="s">
        <v>24</v>
      </c>
      <c r="G52" s="3">
        <v>0</v>
      </c>
      <c r="H52" s="3">
        <v>6.2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6.2</v>
      </c>
      <c r="AC52" s="3" t="s">
        <v>51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</row>
    <row r="53" spans="2:55" x14ac:dyDescent="0.3">
      <c r="B53" s="3" t="s">
        <v>57</v>
      </c>
      <c r="C53" s="4" t="s">
        <v>135</v>
      </c>
      <c r="D53" s="4" t="s">
        <v>136</v>
      </c>
      <c r="E53" s="4" t="s">
        <v>144</v>
      </c>
      <c r="F53" s="3" t="s">
        <v>24</v>
      </c>
      <c r="G53" s="3">
        <v>0</v>
      </c>
      <c r="H53" s="3">
        <v>6.2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6.2</v>
      </c>
      <c r="AC53" s="3" t="s">
        <v>51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</row>
    <row r="54" spans="2:55" x14ac:dyDescent="0.3">
      <c r="B54" s="3" t="s">
        <v>57</v>
      </c>
      <c r="C54" s="4" t="s">
        <v>135</v>
      </c>
      <c r="D54" s="4" t="s">
        <v>136</v>
      </c>
      <c r="E54" s="4" t="s">
        <v>144</v>
      </c>
      <c r="F54" s="3" t="s">
        <v>24</v>
      </c>
      <c r="G54" s="3">
        <v>0</v>
      </c>
      <c r="H54" s="3">
        <v>6.2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6.2</v>
      </c>
      <c r="AC54" s="3" t="s">
        <v>51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</row>
    <row r="55" spans="2:55" x14ac:dyDescent="0.3">
      <c r="B55" s="3" t="s">
        <v>57</v>
      </c>
      <c r="C55" s="4" t="s">
        <v>135</v>
      </c>
      <c r="D55" s="4" t="s">
        <v>139</v>
      </c>
      <c r="E55" s="4" t="s">
        <v>143</v>
      </c>
      <c r="F55" s="3" t="s">
        <v>24</v>
      </c>
      <c r="G55" s="3">
        <v>0</v>
      </c>
      <c r="H55" s="3">
        <v>6.2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6.2</v>
      </c>
      <c r="AC55" s="3" t="s">
        <v>51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</row>
    <row r="56" spans="2:55" x14ac:dyDescent="0.3">
      <c r="B56" s="3" t="s">
        <v>57</v>
      </c>
      <c r="C56" s="4" t="s">
        <v>135</v>
      </c>
      <c r="D56" s="4" t="s">
        <v>139</v>
      </c>
      <c r="E56" s="4" t="s">
        <v>141</v>
      </c>
      <c r="F56" s="3" t="s">
        <v>24</v>
      </c>
      <c r="G56" s="3">
        <v>0</v>
      </c>
      <c r="H56" s="3">
        <v>6.2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6.2</v>
      </c>
      <c r="AC56" s="3" t="s">
        <v>51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</row>
    <row r="57" spans="2:55" x14ac:dyDescent="0.3">
      <c r="B57" s="3" t="s">
        <v>57</v>
      </c>
      <c r="C57" s="4" t="s">
        <v>135</v>
      </c>
      <c r="D57" s="4" t="s">
        <v>139</v>
      </c>
      <c r="E57" s="4" t="s">
        <v>140</v>
      </c>
      <c r="F57" s="3" t="s">
        <v>24</v>
      </c>
      <c r="G57" s="3">
        <v>0</v>
      </c>
      <c r="H57" s="3">
        <v>6.2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6.2</v>
      </c>
      <c r="AC57" s="3" t="s">
        <v>51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</row>
    <row r="58" spans="2:55" x14ac:dyDescent="0.3">
      <c r="B58" s="3" t="s">
        <v>57</v>
      </c>
      <c r="C58" s="4" t="s">
        <v>135</v>
      </c>
      <c r="D58" s="4" t="s">
        <v>145</v>
      </c>
      <c r="E58" s="4" t="s">
        <v>146</v>
      </c>
      <c r="F58" s="3" t="s">
        <v>24</v>
      </c>
      <c r="G58" s="3">
        <v>0</v>
      </c>
      <c r="H58" s="3">
        <v>6.2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6.2</v>
      </c>
      <c r="AC58" s="3" t="s">
        <v>51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</row>
    <row r="59" spans="2:55" x14ac:dyDescent="0.3">
      <c r="B59" s="3" t="s">
        <v>57</v>
      </c>
      <c r="C59" s="4" t="s">
        <v>149</v>
      </c>
      <c r="D59" s="4" t="s">
        <v>152</v>
      </c>
      <c r="E59" s="4" t="s">
        <v>153</v>
      </c>
      <c r="F59" s="3" t="s">
        <v>24</v>
      </c>
      <c r="G59" s="3">
        <v>0</v>
      </c>
      <c r="H59" s="3">
        <v>6.2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6.2</v>
      </c>
      <c r="AC59" s="3" t="s">
        <v>51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</row>
    <row r="60" spans="2:55" x14ac:dyDescent="0.3">
      <c r="B60" s="3" t="s">
        <v>57</v>
      </c>
      <c r="C60" s="4" t="s">
        <v>149</v>
      </c>
      <c r="D60" s="4" t="s">
        <v>150</v>
      </c>
      <c r="E60" s="4" t="s">
        <v>151</v>
      </c>
      <c r="F60" s="3" t="s">
        <v>24</v>
      </c>
      <c r="G60" s="3">
        <v>0</v>
      </c>
      <c r="H60" s="3">
        <v>6.2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6.2</v>
      </c>
      <c r="AC60" s="3" t="s">
        <v>51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</row>
    <row r="61" spans="2:55" x14ac:dyDescent="0.3">
      <c r="B61" s="3" t="s">
        <v>57</v>
      </c>
      <c r="C61" s="4" t="s">
        <v>154</v>
      </c>
      <c r="D61" s="4" t="s">
        <v>155</v>
      </c>
      <c r="E61" s="4" t="s">
        <v>156</v>
      </c>
      <c r="F61" s="3" t="s">
        <v>24</v>
      </c>
      <c r="G61" s="3">
        <v>0</v>
      </c>
      <c r="H61" s="3">
        <v>6.2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6.2</v>
      </c>
      <c r="AC61" s="3" t="s">
        <v>51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</row>
    <row r="62" spans="2:55" x14ac:dyDescent="0.3">
      <c r="B62" s="3" t="s">
        <v>57</v>
      </c>
      <c r="C62" s="4" t="s">
        <v>154</v>
      </c>
      <c r="D62" s="4" t="s">
        <v>155</v>
      </c>
      <c r="E62" s="4" t="s">
        <v>157</v>
      </c>
      <c r="F62" s="3" t="s">
        <v>24</v>
      </c>
      <c r="G62" s="3">
        <v>0</v>
      </c>
      <c r="H62" s="3">
        <v>6.2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6.2</v>
      </c>
      <c r="AC62" s="3" t="s">
        <v>51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</row>
    <row r="63" spans="2:55" x14ac:dyDescent="0.3">
      <c r="B63" s="3" t="s">
        <v>57</v>
      </c>
      <c r="C63" s="4" t="s">
        <v>222</v>
      </c>
      <c r="D63" s="4" t="s">
        <v>223</v>
      </c>
      <c r="E63" s="4" t="s">
        <v>224</v>
      </c>
      <c r="F63" s="3" t="s">
        <v>24</v>
      </c>
      <c r="G63" s="3">
        <v>0</v>
      </c>
      <c r="H63" s="3">
        <v>6.2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6.2</v>
      </c>
      <c r="AC63" s="3" t="s">
        <v>51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</row>
    <row r="64" spans="2:55" x14ac:dyDescent="0.3">
      <c r="B64" s="3" t="s">
        <v>57</v>
      </c>
      <c r="C64" s="4" t="s">
        <v>158</v>
      </c>
      <c r="D64" s="4" t="s">
        <v>159</v>
      </c>
      <c r="E64" s="4" t="s">
        <v>160</v>
      </c>
      <c r="F64" s="3" t="s">
        <v>24</v>
      </c>
      <c r="G64" s="3">
        <v>0</v>
      </c>
      <c r="H64" s="3">
        <v>6.2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6.2</v>
      </c>
      <c r="AC64" s="3" t="s">
        <v>51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</row>
    <row r="65" spans="2:55" x14ac:dyDescent="0.3">
      <c r="B65" s="3" t="s">
        <v>57</v>
      </c>
      <c r="C65" s="4" t="s">
        <v>158</v>
      </c>
      <c r="D65" s="4" t="s">
        <v>159</v>
      </c>
      <c r="E65" s="4" t="s">
        <v>160</v>
      </c>
      <c r="F65" s="3" t="s">
        <v>24</v>
      </c>
      <c r="G65" s="3">
        <v>0</v>
      </c>
      <c r="H65" s="3">
        <v>6.2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6.2</v>
      </c>
      <c r="AC65" s="3" t="s">
        <v>51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</row>
    <row r="66" spans="2:55" x14ac:dyDescent="0.3">
      <c r="B66" s="3" t="s">
        <v>57</v>
      </c>
      <c r="C66" s="4" t="s">
        <v>158</v>
      </c>
      <c r="D66" s="4" t="s">
        <v>178</v>
      </c>
      <c r="E66" s="4" t="s">
        <v>179</v>
      </c>
      <c r="F66" s="3" t="s">
        <v>24</v>
      </c>
      <c r="G66" s="3">
        <v>0</v>
      </c>
      <c r="H66" s="3">
        <v>6.2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6.2</v>
      </c>
      <c r="AC66" s="3" t="s">
        <v>51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</row>
    <row r="67" spans="2:55" x14ac:dyDescent="0.3">
      <c r="B67" s="3" t="s">
        <v>57</v>
      </c>
      <c r="C67" s="4" t="s">
        <v>158</v>
      </c>
      <c r="D67" s="4" t="s">
        <v>219</v>
      </c>
      <c r="E67" s="4" t="s">
        <v>220</v>
      </c>
      <c r="F67" s="3" t="s">
        <v>24</v>
      </c>
      <c r="G67" s="3">
        <v>0</v>
      </c>
      <c r="H67" s="3">
        <v>6.2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6.2</v>
      </c>
      <c r="AC67" s="3" t="s">
        <v>51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</row>
    <row r="68" spans="2:55" x14ac:dyDescent="0.3">
      <c r="B68" s="3" t="s">
        <v>57</v>
      </c>
      <c r="C68" s="4" t="s">
        <v>158</v>
      </c>
      <c r="D68" s="4" t="s">
        <v>180</v>
      </c>
      <c r="E68" s="4" t="s">
        <v>181</v>
      </c>
      <c r="F68" s="3" t="s">
        <v>24</v>
      </c>
      <c r="G68" s="3">
        <v>0</v>
      </c>
      <c r="H68" s="3">
        <v>6.2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6.2</v>
      </c>
      <c r="AC68" s="3" t="s">
        <v>51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</row>
    <row r="69" spans="2:55" x14ac:dyDescent="0.3">
      <c r="B69" s="3" t="s">
        <v>57</v>
      </c>
      <c r="C69" s="4" t="s">
        <v>158</v>
      </c>
      <c r="D69" s="4" t="s">
        <v>227</v>
      </c>
      <c r="E69" s="4" t="s">
        <v>228</v>
      </c>
      <c r="F69" s="3" t="s">
        <v>24</v>
      </c>
      <c r="G69" s="3">
        <v>0</v>
      </c>
      <c r="H69" s="3">
        <v>6.2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6.2</v>
      </c>
      <c r="AC69" s="3" t="s">
        <v>51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</row>
    <row r="70" spans="2:55" x14ac:dyDescent="0.3">
      <c r="B70" s="3" t="s">
        <v>57</v>
      </c>
      <c r="C70" s="4" t="s">
        <v>158</v>
      </c>
      <c r="D70" s="4" t="s">
        <v>161</v>
      </c>
      <c r="E70" s="4" t="s">
        <v>229</v>
      </c>
      <c r="F70" s="3" t="s">
        <v>24</v>
      </c>
      <c r="G70" s="3">
        <v>0</v>
      </c>
      <c r="H70" s="3">
        <v>6.2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6.2</v>
      </c>
      <c r="AC70" s="3" t="s">
        <v>51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</row>
    <row r="71" spans="2:55" x14ac:dyDescent="0.3">
      <c r="B71" s="3" t="s">
        <v>57</v>
      </c>
      <c r="C71" s="4" t="s">
        <v>158</v>
      </c>
      <c r="D71" s="4" t="s">
        <v>161</v>
      </c>
      <c r="E71" s="4" t="s">
        <v>162</v>
      </c>
      <c r="F71" s="3" t="s">
        <v>24</v>
      </c>
      <c r="G71" s="3">
        <v>0</v>
      </c>
      <c r="H71" s="3">
        <v>6.2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6.2</v>
      </c>
      <c r="AC71" s="3" t="s">
        <v>51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</row>
    <row r="72" spans="2:55" x14ac:dyDescent="0.3">
      <c r="B72" s="3" t="s">
        <v>57</v>
      </c>
      <c r="C72" s="4" t="s">
        <v>158</v>
      </c>
      <c r="D72" s="4" t="s">
        <v>163</v>
      </c>
      <c r="E72" s="4" t="s">
        <v>164</v>
      </c>
      <c r="F72" s="3" t="s">
        <v>24</v>
      </c>
      <c r="G72" s="3">
        <v>0</v>
      </c>
      <c r="H72" s="3">
        <v>6.2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6.2</v>
      </c>
      <c r="AC72" s="3" t="s">
        <v>51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</row>
    <row r="73" spans="2:55" x14ac:dyDescent="0.3">
      <c r="B73" s="3" t="s">
        <v>57</v>
      </c>
      <c r="C73" s="4" t="s">
        <v>158</v>
      </c>
      <c r="D73" s="4" t="s">
        <v>145</v>
      </c>
      <c r="E73" s="4" t="s">
        <v>165</v>
      </c>
      <c r="F73" s="3" t="s">
        <v>24</v>
      </c>
      <c r="G73" s="3">
        <v>0</v>
      </c>
      <c r="H73" s="3">
        <v>6.2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6.2</v>
      </c>
      <c r="AC73" s="3" t="s">
        <v>51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</row>
    <row r="74" spans="2:55" x14ac:dyDescent="0.3">
      <c r="B74" s="3" t="s">
        <v>57</v>
      </c>
      <c r="C74" s="4" t="s">
        <v>158</v>
      </c>
      <c r="D74" s="4" t="s">
        <v>145</v>
      </c>
      <c r="E74" s="4" t="s">
        <v>146</v>
      </c>
      <c r="F74" s="3" t="s">
        <v>24</v>
      </c>
      <c r="G74" s="3">
        <v>0</v>
      </c>
      <c r="H74" s="3">
        <v>6.2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6.2</v>
      </c>
      <c r="AC74" s="3" t="s">
        <v>51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</row>
    <row r="75" spans="2:55" x14ac:dyDescent="0.3">
      <c r="B75" s="3" t="s">
        <v>57</v>
      </c>
      <c r="C75" s="4" t="s">
        <v>158</v>
      </c>
      <c r="D75" s="4" t="s">
        <v>166</v>
      </c>
      <c r="E75" s="4" t="s">
        <v>177</v>
      </c>
      <c r="F75" s="3" t="s">
        <v>24</v>
      </c>
      <c r="G75" s="3">
        <v>0</v>
      </c>
      <c r="H75" s="3">
        <v>6.2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6.2</v>
      </c>
      <c r="AC75" s="3" t="s">
        <v>51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</row>
    <row r="76" spans="2:55" x14ac:dyDescent="0.3">
      <c r="B76" s="3" t="s">
        <v>57</v>
      </c>
      <c r="C76" s="4" t="s">
        <v>158</v>
      </c>
      <c r="D76" s="4" t="s">
        <v>166</v>
      </c>
      <c r="E76" s="4" t="s">
        <v>167</v>
      </c>
      <c r="F76" s="3" t="s">
        <v>24</v>
      </c>
      <c r="G76" s="3">
        <v>0</v>
      </c>
      <c r="H76" s="3">
        <v>6.2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6.2</v>
      </c>
      <c r="AC76" s="3" t="s">
        <v>51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</row>
    <row r="77" spans="2:55" x14ac:dyDescent="0.3">
      <c r="B77" s="3" t="s">
        <v>57</v>
      </c>
      <c r="C77" s="4" t="s">
        <v>158</v>
      </c>
      <c r="D77" s="4" t="s">
        <v>166</v>
      </c>
      <c r="E77" s="4" t="s">
        <v>233</v>
      </c>
      <c r="F77" s="3" t="s">
        <v>44</v>
      </c>
      <c r="G77" s="3">
        <v>0</v>
      </c>
      <c r="H77" s="3">
        <v>6.2</v>
      </c>
      <c r="I77" s="3">
        <v>0</v>
      </c>
      <c r="J77" s="3">
        <v>0</v>
      </c>
      <c r="K77" s="3">
        <v>0</v>
      </c>
      <c r="L77" s="3">
        <v>0</v>
      </c>
      <c r="M77" s="3">
        <v>47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53.2</v>
      </c>
      <c r="AC77" s="3" t="s">
        <v>51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</row>
    <row r="78" spans="2:55" x14ac:dyDescent="0.3">
      <c r="B78" s="3" t="s">
        <v>57</v>
      </c>
      <c r="C78" s="4" t="s">
        <v>158</v>
      </c>
      <c r="D78" s="4" t="s">
        <v>166</v>
      </c>
      <c r="E78" s="4" t="s">
        <v>168</v>
      </c>
      <c r="F78" s="3" t="s">
        <v>24</v>
      </c>
      <c r="G78" s="3">
        <v>0</v>
      </c>
      <c r="H78" s="3">
        <v>6.2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6.2</v>
      </c>
      <c r="AC78" s="3" t="s">
        <v>51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</row>
    <row r="79" spans="2:55" x14ac:dyDescent="0.3">
      <c r="B79" s="3" t="s">
        <v>57</v>
      </c>
      <c r="C79" s="4" t="s">
        <v>158</v>
      </c>
      <c r="D79" s="4" t="s">
        <v>182</v>
      </c>
      <c r="E79" s="4" t="s">
        <v>184</v>
      </c>
      <c r="F79" s="3" t="s">
        <v>24</v>
      </c>
      <c r="G79" s="3">
        <v>0</v>
      </c>
      <c r="H79" s="3">
        <v>6.2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6.2</v>
      </c>
      <c r="AC79" s="3" t="s">
        <v>51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</row>
    <row r="80" spans="2:55" x14ac:dyDescent="0.3">
      <c r="B80" s="3" t="s">
        <v>57</v>
      </c>
      <c r="C80" s="4" t="s">
        <v>158</v>
      </c>
      <c r="D80" s="4" t="s">
        <v>182</v>
      </c>
      <c r="E80" s="4" t="s">
        <v>183</v>
      </c>
      <c r="F80" s="3" t="s">
        <v>24</v>
      </c>
      <c r="G80" s="3">
        <v>0</v>
      </c>
      <c r="H80" s="3">
        <v>6.2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6.2</v>
      </c>
      <c r="AC80" s="3" t="s">
        <v>51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</row>
    <row r="81" spans="2:55" x14ac:dyDescent="0.3">
      <c r="B81" s="3" t="s">
        <v>57</v>
      </c>
      <c r="C81" s="4" t="s">
        <v>158</v>
      </c>
      <c r="D81" s="4" t="s">
        <v>230</v>
      </c>
      <c r="E81" s="4" t="s">
        <v>231</v>
      </c>
      <c r="F81" s="3" t="s">
        <v>24</v>
      </c>
      <c r="G81" s="3">
        <v>0</v>
      </c>
      <c r="H81" s="3">
        <v>6.2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6.2</v>
      </c>
      <c r="AC81" s="3" t="s">
        <v>51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</row>
    <row r="82" spans="2:55" x14ac:dyDescent="0.3">
      <c r="B82" s="3" t="s">
        <v>57</v>
      </c>
      <c r="C82" s="4" t="s">
        <v>158</v>
      </c>
      <c r="D82" s="4" t="s">
        <v>169</v>
      </c>
      <c r="E82" s="4" t="s">
        <v>170</v>
      </c>
      <c r="F82" s="3" t="s">
        <v>24</v>
      </c>
      <c r="G82" s="3">
        <v>0</v>
      </c>
      <c r="H82" s="3">
        <v>6.2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6.2</v>
      </c>
      <c r="AC82" s="3" t="s">
        <v>51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</row>
    <row r="83" spans="2:55" x14ac:dyDescent="0.3">
      <c r="B83" s="3" t="s">
        <v>57</v>
      </c>
      <c r="C83" s="4" t="s">
        <v>158</v>
      </c>
      <c r="D83" s="4" t="s">
        <v>169</v>
      </c>
      <c r="E83" s="4" t="s">
        <v>171</v>
      </c>
      <c r="F83" s="3" t="s">
        <v>24</v>
      </c>
      <c r="G83" s="3">
        <v>0</v>
      </c>
      <c r="H83" s="3">
        <v>6.2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6.2</v>
      </c>
      <c r="AC83" s="3" t="s">
        <v>51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</row>
    <row r="84" spans="2:55" x14ac:dyDescent="0.3">
      <c r="B84" s="3" t="s">
        <v>57</v>
      </c>
      <c r="C84" s="4" t="s">
        <v>158</v>
      </c>
      <c r="D84" s="4" t="s">
        <v>175</v>
      </c>
      <c r="E84" s="4" t="s">
        <v>176</v>
      </c>
      <c r="F84" s="3" t="s">
        <v>24</v>
      </c>
      <c r="G84" s="3">
        <v>0</v>
      </c>
      <c r="H84" s="3">
        <v>6.2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6.2</v>
      </c>
      <c r="AC84" s="3" t="s">
        <v>51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</row>
    <row r="85" spans="2:55" x14ac:dyDescent="0.3">
      <c r="B85" s="3" t="s">
        <v>57</v>
      </c>
      <c r="C85" s="4" t="s">
        <v>158</v>
      </c>
      <c r="D85" s="4" t="s">
        <v>175</v>
      </c>
      <c r="E85" s="4" t="s">
        <v>176</v>
      </c>
      <c r="F85" s="3" t="s">
        <v>24</v>
      </c>
      <c r="G85" s="3">
        <v>0</v>
      </c>
      <c r="H85" s="3">
        <v>6.2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6.2</v>
      </c>
      <c r="AC85" s="3" t="s">
        <v>51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</row>
    <row r="86" spans="2:55" x14ac:dyDescent="0.3">
      <c r="B86" s="3" t="s">
        <v>57</v>
      </c>
      <c r="C86" s="4" t="s">
        <v>158</v>
      </c>
      <c r="D86" s="4" t="s">
        <v>175</v>
      </c>
      <c r="E86" s="4" t="s">
        <v>176</v>
      </c>
      <c r="F86" s="3" t="s">
        <v>24</v>
      </c>
      <c r="G86" s="3">
        <v>0</v>
      </c>
      <c r="H86" s="3">
        <v>6.2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6.2</v>
      </c>
      <c r="AC86" s="3" t="s">
        <v>51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</row>
    <row r="87" spans="2:55" x14ac:dyDescent="0.3">
      <c r="B87" s="3" t="s">
        <v>57</v>
      </c>
      <c r="C87" s="4" t="s">
        <v>172</v>
      </c>
      <c r="D87" s="4" t="s">
        <v>173</v>
      </c>
      <c r="E87" s="4" t="s">
        <v>174</v>
      </c>
      <c r="F87" s="3" t="s">
        <v>24</v>
      </c>
      <c r="G87" s="3">
        <v>0</v>
      </c>
      <c r="H87" s="3">
        <v>6.2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6.2</v>
      </c>
      <c r="AC87" s="3" t="s">
        <v>51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</row>
    <row r="88" spans="2:55" x14ac:dyDescent="0.3">
      <c r="B88" s="3" t="s">
        <v>57</v>
      </c>
      <c r="C88" s="4" t="s">
        <v>185</v>
      </c>
      <c r="D88" s="4" t="s">
        <v>186</v>
      </c>
      <c r="E88" s="4" t="s">
        <v>187</v>
      </c>
      <c r="F88" s="3" t="s">
        <v>25</v>
      </c>
      <c r="G88" s="3">
        <v>44.8</v>
      </c>
      <c r="H88" s="3">
        <v>24.8</v>
      </c>
      <c r="I88" s="3">
        <v>55.6</v>
      </c>
      <c r="J88" s="3">
        <v>0</v>
      </c>
      <c r="K88" s="3">
        <v>71.2</v>
      </c>
      <c r="L88" s="3">
        <v>20.399999999999999</v>
      </c>
      <c r="M88" s="3">
        <v>0</v>
      </c>
      <c r="N88" s="3">
        <v>0</v>
      </c>
      <c r="O88" s="3">
        <v>15.8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232.6</v>
      </c>
      <c r="AC88" s="3" t="s">
        <v>51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</row>
    <row r="89" spans="2:55" x14ac:dyDescent="0.3">
      <c r="B89" s="3" t="s">
        <v>57</v>
      </c>
      <c r="C89" s="4" t="s">
        <v>188</v>
      </c>
      <c r="D89" s="4" t="s">
        <v>189</v>
      </c>
      <c r="E89" s="4" t="s">
        <v>190</v>
      </c>
      <c r="F89" s="3" t="s">
        <v>26</v>
      </c>
      <c r="G89" s="3">
        <v>0</v>
      </c>
      <c r="H89" s="3">
        <v>6.2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21.65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27.85</v>
      </c>
      <c r="AC89" s="3" t="s">
        <v>51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</row>
    <row r="90" spans="2:55" x14ac:dyDescent="0.3">
      <c r="B90" s="3" t="s">
        <v>57</v>
      </c>
      <c r="C90" s="4" t="s">
        <v>188</v>
      </c>
      <c r="D90" s="4" t="s">
        <v>193</v>
      </c>
      <c r="E90" s="4" t="s">
        <v>194</v>
      </c>
      <c r="F90" s="3" t="s">
        <v>27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21.65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21.65</v>
      </c>
      <c r="AC90" s="3" t="s">
        <v>51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</row>
    <row r="91" spans="2:55" x14ac:dyDescent="0.3">
      <c r="B91" s="3" t="s">
        <v>57</v>
      </c>
      <c r="C91" s="4" t="s">
        <v>188</v>
      </c>
      <c r="D91" s="4" t="s">
        <v>191</v>
      </c>
      <c r="E91" s="4" t="s">
        <v>192</v>
      </c>
      <c r="F91" s="3" t="s">
        <v>27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21.65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21.65</v>
      </c>
      <c r="AC91" s="3" t="s">
        <v>51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</row>
    <row r="92" spans="2:55" x14ac:dyDescent="0.3">
      <c r="B92" s="3" t="s">
        <v>57</v>
      </c>
      <c r="C92" s="4" t="s">
        <v>195</v>
      </c>
      <c r="D92" s="4" t="s">
        <v>196</v>
      </c>
      <c r="E92" s="4" t="s">
        <v>197</v>
      </c>
      <c r="F92" s="3" t="s">
        <v>28</v>
      </c>
      <c r="G92" s="3">
        <v>0</v>
      </c>
      <c r="H92" s="3">
        <v>6.2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73.8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80</v>
      </c>
      <c r="AC92" s="3" t="s">
        <v>51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</row>
    <row r="93" spans="2:55" x14ac:dyDescent="0.3">
      <c r="B93" s="3" t="s">
        <v>57</v>
      </c>
      <c r="C93" s="4" t="s">
        <v>198</v>
      </c>
      <c r="D93" s="4" t="s">
        <v>203</v>
      </c>
      <c r="E93" s="4" t="s">
        <v>204</v>
      </c>
      <c r="F93" s="3" t="s">
        <v>24</v>
      </c>
      <c r="G93" s="3">
        <v>0</v>
      </c>
      <c r="H93" s="3">
        <v>6.2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6.2</v>
      </c>
      <c r="AC93" s="3" t="s">
        <v>51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</row>
    <row r="94" spans="2:55" x14ac:dyDescent="0.3">
      <c r="B94" s="3" t="s">
        <v>57</v>
      </c>
      <c r="C94" s="4" t="s">
        <v>198</v>
      </c>
      <c r="D94" s="4" t="s">
        <v>203</v>
      </c>
      <c r="E94" s="4" t="s">
        <v>221</v>
      </c>
      <c r="F94" s="3" t="s">
        <v>24</v>
      </c>
      <c r="G94" s="3">
        <v>0</v>
      </c>
      <c r="H94" s="3">
        <v>6.2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6.2</v>
      </c>
      <c r="AC94" s="3" t="s">
        <v>51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</row>
    <row r="95" spans="2:55" x14ac:dyDescent="0.3">
      <c r="B95" s="3" t="s">
        <v>57</v>
      </c>
      <c r="C95" s="4" t="s">
        <v>198</v>
      </c>
      <c r="D95" s="4" t="s">
        <v>203</v>
      </c>
      <c r="E95" s="4" t="s">
        <v>206</v>
      </c>
      <c r="F95" s="3" t="s">
        <v>24</v>
      </c>
      <c r="G95" s="3">
        <v>0</v>
      </c>
      <c r="H95" s="3">
        <v>6.2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6.2</v>
      </c>
      <c r="AC95" s="3" t="s">
        <v>51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</row>
    <row r="96" spans="2:55" x14ac:dyDescent="0.3">
      <c r="B96" s="3" t="s">
        <v>57</v>
      </c>
      <c r="C96" s="4" t="s">
        <v>198</v>
      </c>
      <c r="D96" s="4" t="s">
        <v>203</v>
      </c>
      <c r="E96" s="4" t="s">
        <v>206</v>
      </c>
      <c r="F96" s="3" t="s">
        <v>24</v>
      </c>
      <c r="G96" s="3">
        <v>0</v>
      </c>
      <c r="H96" s="3">
        <v>6.2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6.2</v>
      </c>
      <c r="AC96" s="3" t="s">
        <v>51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</row>
    <row r="97" spans="2:55" x14ac:dyDescent="0.3">
      <c r="B97" s="3" t="s">
        <v>57</v>
      </c>
      <c r="C97" s="4" t="s">
        <v>198</v>
      </c>
      <c r="D97" s="4" t="s">
        <v>203</v>
      </c>
      <c r="E97" s="4" t="s">
        <v>205</v>
      </c>
      <c r="F97" s="3" t="s">
        <v>24</v>
      </c>
      <c r="G97" s="3">
        <v>0</v>
      </c>
      <c r="H97" s="3">
        <v>6.2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6.2</v>
      </c>
      <c r="AC97" s="3" t="s">
        <v>51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</row>
    <row r="98" spans="2:55" x14ac:dyDescent="0.3">
      <c r="B98" s="3" t="s">
        <v>57</v>
      </c>
      <c r="C98" s="4" t="s">
        <v>198</v>
      </c>
      <c r="D98" s="4" t="s">
        <v>203</v>
      </c>
      <c r="E98" s="4" t="s">
        <v>207</v>
      </c>
      <c r="F98" s="3" t="s">
        <v>24</v>
      </c>
      <c r="G98" s="3">
        <v>0</v>
      </c>
      <c r="H98" s="3">
        <v>6.2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6.2</v>
      </c>
      <c r="AC98" s="3" t="s">
        <v>51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</row>
    <row r="99" spans="2:55" x14ac:dyDescent="0.3">
      <c r="B99" s="3" t="s">
        <v>57</v>
      </c>
      <c r="C99" s="4" t="s">
        <v>198</v>
      </c>
      <c r="D99" s="4" t="s">
        <v>203</v>
      </c>
      <c r="E99" s="4" t="s">
        <v>207</v>
      </c>
      <c r="F99" s="3" t="s">
        <v>24</v>
      </c>
      <c r="G99" s="3">
        <v>0</v>
      </c>
      <c r="H99" s="3">
        <v>6.2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6.2</v>
      </c>
      <c r="AC99" s="3" t="s">
        <v>51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</row>
    <row r="100" spans="2:55" x14ac:dyDescent="0.3">
      <c r="B100" s="3" t="s">
        <v>57</v>
      </c>
      <c r="C100" s="4" t="s">
        <v>198</v>
      </c>
      <c r="D100" s="4" t="s">
        <v>199</v>
      </c>
      <c r="E100" s="4" t="s">
        <v>200</v>
      </c>
      <c r="F100" s="3" t="s">
        <v>24</v>
      </c>
      <c r="G100" s="3">
        <v>0</v>
      </c>
      <c r="H100" s="3">
        <v>6.2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6.2</v>
      </c>
      <c r="AC100" s="3" t="s">
        <v>51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</row>
    <row r="101" spans="2:55" x14ac:dyDescent="0.3">
      <c r="B101" s="3" t="s">
        <v>57</v>
      </c>
      <c r="C101" s="4" t="s">
        <v>198</v>
      </c>
      <c r="D101" s="4" t="s">
        <v>199</v>
      </c>
      <c r="E101" s="4" t="s">
        <v>202</v>
      </c>
      <c r="F101" s="3" t="s">
        <v>24</v>
      </c>
      <c r="G101" s="3">
        <v>0</v>
      </c>
      <c r="H101" s="3">
        <v>6.2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6.2</v>
      </c>
      <c r="AC101" s="3" t="s">
        <v>51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</row>
    <row r="102" spans="2:55" x14ac:dyDescent="0.3">
      <c r="B102" s="3" t="s">
        <v>57</v>
      </c>
      <c r="C102" s="4" t="s">
        <v>198</v>
      </c>
      <c r="D102" s="4" t="s">
        <v>199</v>
      </c>
      <c r="E102" s="4" t="s">
        <v>201</v>
      </c>
      <c r="F102" s="3" t="s">
        <v>24</v>
      </c>
      <c r="G102" s="3">
        <v>0</v>
      </c>
      <c r="H102" s="3">
        <v>6.2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6.2</v>
      </c>
      <c r="AC102" s="3" t="s">
        <v>51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</row>
    <row r="103" spans="2:55" x14ac:dyDescent="0.3">
      <c r="B103" s="3" t="s">
        <v>57</v>
      </c>
      <c r="C103" s="4" t="s">
        <v>198</v>
      </c>
      <c r="D103" s="4" t="s">
        <v>208</v>
      </c>
      <c r="E103" s="4" t="s">
        <v>209</v>
      </c>
      <c r="F103" s="3" t="s">
        <v>24</v>
      </c>
      <c r="G103" s="3">
        <v>0</v>
      </c>
      <c r="H103" s="3">
        <v>6.2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6.2</v>
      </c>
      <c r="AC103" s="3" t="s">
        <v>51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</row>
    <row r="104" spans="2:55" x14ac:dyDescent="0.3">
      <c r="B104" s="3" t="s">
        <v>57</v>
      </c>
      <c r="C104" s="4" t="s">
        <v>210</v>
      </c>
      <c r="D104" s="4" t="s">
        <v>211</v>
      </c>
      <c r="E104" s="4" t="s">
        <v>212</v>
      </c>
      <c r="F104" s="3" t="s">
        <v>24</v>
      </c>
      <c r="G104" s="3">
        <v>0</v>
      </c>
      <c r="H104" s="3">
        <v>6.2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6.2</v>
      </c>
      <c r="AC104" s="3" t="s">
        <v>51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</row>
    <row r="105" spans="2:55" x14ac:dyDescent="0.3">
      <c r="B105" s="3" t="s">
        <v>57</v>
      </c>
      <c r="C105" s="4" t="s">
        <v>210</v>
      </c>
      <c r="D105" s="4" t="s">
        <v>211</v>
      </c>
      <c r="E105" s="4" t="s">
        <v>213</v>
      </c>
      <c r="F105" s="3" t="s">
        <v>24</v>
      </c>
      <c r="G105" s="3">
        <v>0</v>
      </c>
      <c r="H105" s="3">
        <v>6.2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6.2</v>
      </c>
      <c r="AC105" s="3" t="s">
        <v>51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</row>
    <row r="106" spans="2:55" x14ac:dyDescent="0.3">
      <c r="B106" s="3" t="s">
        <v>57</v>
      </c>
      <c r="C106" s="4" t="s">
        <v>210</v>
      </c>
      <c r="D106" s="4" t="s">
        <v>214</v>
      </c>
      <c r="E106" s="4" t="s">
        <v>215</v>
      </c>
      <c r="F106" s="3" t="s">
        <v>24</v>
      </c>
      <c r="G106" s="3">
        <v>0</v>
      </c>
      <c r="H106" s="3">
        <v>6.2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6.2</v>
      </c>
      <c r="AC106" s="3" t="s">
        <v>51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</row>
    <row r="107" spans="2:55" x14ac:dyDescent="0.3">
      <c r="B107" s="3" t="s">
        <v>57</v>
      </c>
      <c r="C107" s="4" t="s">
        <v>210</v>
      </c>
      <c r="D107" s="4" t="s">
        <v>216</v>
      </c>
      <c r="E107" s="4" t="s">
        <v>218</v>
      </c>
      <c r="F107" s="3" t="s">
        <v>24</v>
      </c>
      <c r="G107" s="3">
        <v>0</v>
      </c>
      <c r="H107" s="3">
        <v>6.2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6.2</v>
      </c>
      <c r="AC107" s="3" t="s">
        <v>51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</row>
    <row r="108" spans="2:55" x14ac:dyDescent="0.3">
      <c r="B108" s="3" t="s">
        <v>57</v>
      </c>
      <c r="C108" s="4" t="s">
        <v>210</v>
      </c>
      <c r="D108" s="4" t="s">
        <v>216</v>
      </c>
      <c r="E108" s="4" t="s">
        <v>217</v>
      </c>
      <c r="F108" s="3" t="s">
        <v>24</v>
      </c>
      <c r="G108" s="3">
        <v>0</v>
      </c>
      <c r="H108" s="3">
        <v>6.2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6.2</v>
      </c>
      <c r="AC108" s="3" t="s">
        <v>51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</row>
  </sheetData>
  <sortState ref="B5:BC108">
    <sortCondition ref="B5:B108"/>
    <sortCondition ref="C5:C108"/>
    <sortCondition ref="D5:D108"/>
    <sortCondition ref="E5:E108"/>
  </sortState>
  <mergeCells count="2">
    <mergeCell ref="AC2:BC2"/>
    <mergeCell ref="F2:AB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MiFish F(onlyboth,nodup)</vt:lpstr>
      <vt:lpstr>MiFish F(useinfuture)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Brammell, Ben</dc:creator>
  <cp:lastModifiedBy>B. Brammell</cp:lastModifiedBy>
  <dcterms:created xsi:type="dcterms:W3CDTF">2026-01-18T14:19:37Z</dcterms:created>
  <dcterms:modified xsi:type="dcterms:W3CDTF">2026-01-18T22:29:44Z</dcterms:modified>
</cp:coreProperties>
</file>