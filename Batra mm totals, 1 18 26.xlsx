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.brammell\Desktop\Urban rest. manuscript, 9 23 25\Primer Miner work - 1 15 26\Results - 1 16 25\"/>
    </mc:Choice>
  </mc:AlternateContent>
  <xr:revisionPtr revIDLastSave="0" documentId="13_ncr:1_{7FB76728-A666-4871-8B7F-CFF6A91B0991}" xr6:coauthVersionLast="36" xr6:coauthVersionMax="36" xr10:uidLastSave="{00000000-0000-0000-0000-000000000000}"/>
  <bookViews>
    <workbookView xWindow="0" yWindow="0" windowWidth="10140" windowHeight="8040" xr2:uid="{00000000-000D-0000-FFFF-FFFF00000000}"/>
  </bookViews>
  <sheets>
    <sheet name="Batra F all(onlybothFR, nodup )" sheetId="2" r:id="rId1"/>
    <sheet name="Batra F all (use in fut)" sheetId="1" r:id="rId2"/>
  </sheets>
  <calcPr calcId="179021"/>
</workbook>
</file>

<file path=xl/calcChain.xml><?xml version="1.0" encoding="utf-8"?>
<calcChain xmlns="http://schemas.openxmlformats.org/spreadsheetml/2006/main">
  <c r="L105" i="2" l="1"/>
  <c r="M105" i="2" s="1"/>
  <c r="K105" i="2"/>
  <c r="L46" i="2"/>
  <c r="M46" i="2" s="1"/>
  <c r="K46" i="2"/>
  <c r="L39" i="2"/>
  <c r="M39" i="2" s="1"/>
  <c r="K39" i="2"/>
  <c r="L21" i="2"/>
  <c r="M21" i="2" s="1"/>
  <c r="K21" i="2"/>
  <c r="L5" i="2"/>
  <c r="M5" i="2" s="1"/>
  <c r="K5" i="2"/>
  <c r="I105" i="2"/>
  <c r="I46" i="2"/>
  <c r="I39" i="2"/>
  <c r="I21" i="2"/>
  <c r="I5" i="2"/>
  <c r="H105" i="2"/>
  <c r="H46" i="2"/>
  <c r="H39" i="2"/>
  <c r="H21" i="2"/>
  <c r="H5" i="2"/>
  <c r="G105" i="2"/>
  <c r="G46" i="2"/>
  <c r="G39" i="2"/>
  <c r="G21" i="2"/>
  <c r="G5" i="2"/>
</calcChain>
</file>

<file path=xl/sharedStrings.xml><?xml version="1.0" encoding="utf-8"?>
<sst xmlns="http://schemas.openxmlformats.org/spreadsheetml/2006/main" count="2519" uniqueCount="319">
  <si>
    <t>sequ</t>
  </si>
  <si>
    <t>V17</t>
  </si>
  <si>
    <t>V16</t>
  </si>
  <si>
    <t>V15</t>
  </si>
  <si>
    <t>V14</t>
  </si>
  <si>
    <t>V13</t>
  </si>
  <si>
    <t>V12</t>
  </si>
  <si>
    <t>V11</t>
  </si>
  <si>
    <t>V10</t>
  </si>
  <si>
    <t>V9</t>
  </si>
  <si>
    <t>V8</t>
  </si>
  <si>
    <t>V7</t>
  </si>
  <si>
    <t>V6</t>
  </si>
  <si>
    <t>V5</t>
  </si>
  <si>
    <t>V4</t>
  </si>
  <si>
    <t>V3</t>
  </si>
  <si>
    <t>V2</t>
  </si>
  <si>
    <t>V1</t>
  </si>
  <si>
    <t>sum</t>
  </si>
  <si>
    <t>ACACCGCCCGTCACCCT</t>
  </si>
  <si>
    <t>ACACCGCCCGTCACTCT</t>
  </si>
  <si>
    <t>ACACCGCCCGTCATCCC</t>
  </si>
  <si>
    <t>ATACCGCCCGTCACCCT</t>
  </si>
  <si>
    <t>NA</t>
  </si>
  <si>
    <t>ACGCTGTGAAACACCGT</t>
  </si>
  <si>
    <t>ACACCGNCCGTCACTCT</t>
  </si>
  <si>
    <t>V23</t>
  </si>
  <si>
    <t>V22</t>
  </si>
  <si>
    <t>V21</t>
  </si>
  <si>
    <t>V20</t>
  </si>
  <si>
    <t>V19</t>
  </si>
  <si>
    <t>V18</t>
  </si>
  <si>
    <t>AAGTCGTAACATGGTAAGTRTAC</t>
  </si>
  <si>
    <t>AAGTCGTAACATGGTAAGTGTAC</t>
  </si>
  <si>
    <t>AAGTCGTAACATGGTAAGCGTAC</t>
  </si>
  <si>
    <t>AAGTCGTAACATGGTAAGCCTAC</t>
  </si>
  <si>
    <t>AAGTCGTAACATGGTAAGTGTAA</t>
  </si>
  <si>
    <t>AAG--------------------</t>
  </si>
  <si>
    <t>AAGTCGTAACATGGTAAGTCTAC</t>
  </si>
  <si>
    <t>AAGTCGTAACATGGTAAGTATAC</t>
  </si>
  <si>
    <t>AAGTCGTAACAAGGTAAGTGTAC</t>
  </si>
  <si>
    <t>AAGTCGTAACAAGGTAAGCATAC</t>
  </si>
  <si>
    <t>AAGTCGTAACAAGGTAAGTATAC</t>
  </si>
  <si>
    <t>-----------------------</t>
  </si>
  <si>
    <t>AT---------------------</t>
  </si>
  <si>
    <t>A----------------------</t>
  </si>
  <si>
    <t>_x0002_----------------------</t>
  </si>
  <si>
    <t>T----------------------</t>
  </si>
  <si>
    <t>GAATGAATCCACGGCTGCCCTCC</t>
  </si>
  <si>
    <t>AAGTCGTAACAAGGTAAGTGCAC</t>
  </si>
  <si>
    <t>AAGTCGTAACATGGG--------</t>
  </si>
  <si>
    <t>ANGTCGTAACATGGTAAGTGTAC</t>
  </si>
  <si>
    <t>C----------------------</t>
  </si>
  <si>
    <t>G----------------------</t>
  </si>
  <si>
    <t>AAGTCGTAACATGGTAAGCATAC</t>
  </si>
  <si>
    <t>Osteichthyes</t>
  </si>
  <si>
    <t>Aves</t>
  </si>
  <si>
    <t>Amphibia</t>
  </si>
  <si>
    <t>Mammalia</t>
  </si>
  <si>
    <t xml:space="preserve">Reptilia </t>
  </si>
  <si>
    <t>Sequence</t>
  </si>
  <si>
    <t>Batra F</t>
  </si>
  <si>
    <t>Cryptobranchidae</t>
  </si>
  <si>
    <t>Cryptobranchus</t>
  </si>
  <si>
    <t>Cryptobranchus alleganiensis</t>
  </si>
  <si>
    <t>Plethodontidae</t>
  </si>
  <si>
    <t>Eurycea</t>
  </si>
  <si>
    <t>Eurycea wilderae</t>
  </si>
  <si>
    <t>Pseudotriton</t>
  </si>
  <si>
    <t>Pseudotriton ruber</t>
  </si>
  <si>
    <t>Gyrinophilus</t>
  </si>
  <si>
    <t>Gyrinophilus porphyriticus</t>
  </si>
  <si>
    <t>Desmognathus</t>
  </si>
  <si>
    <t>Desmognathus monticola</t>
  </si>
  <si>
    <t>Desmognathus santeetlah</t>
  </si>
  <si>
    <t>Ranidae</t>
  </si>
  <si>
    <t>Lithobates</t>
  </si>
  <si>
    <t>Lithobates sylvaticus</t>
  </si>
  <si>
    <t>Rana</t>
  </si>
  <si>
    <t>Rana catesbeiana</t>
  </si>
  <si>
    <t>Rana clamitans</t>
  </si>
  <si>
    <t>Hylidae</t>
  </si>
  <si>
    <t>Hyla</t>
  </si>
  <si>
    <t>Hyla chrysoscelis</t>
  </si>
  <si>
    <t>Bufonidae</t>
  </si>
  <si>
    <t>Anaxyrus</t>
  </si>
  <si>
    <t>Anaxyrus americanus</t>
  </si>
  <si>
    <t>Anaxyrus fowleri</t>
  </si>
  <si>
    <t>Eurycea longicauda</t>
  </si>
  <si>
    <t>Eurycea cirrigera</t>
  </si>
  <si>
    <t>Eurycea lucifuga</t>
  </si>
  <si>
    <t>Lithobates clamitans</t>
  </si>
  <si>
    <t>Salamandridae</t>
  </si>
  <si>
    <t>Notophthalmus</t>
  </si>
  <si>
    <t>Notophthalmus viridescens</t>
  </si>
  <si>
    <t>Anaxyrus woodhousii</t>
  </si>
  <si>
    <t>Ambystomatidae</t>
  </si>
  <si>
    <t>Ambystoma</t>
  </si>
  <si>
    <t>Ambystoma opacum</t>
  </si>
  <si>
    <t>Ambystoma jeffersonianum</t>
  </si>
  <si>
    <t>Pseudacris</t>
  </si>
  <si>
    <t>Pseudacris crucifer</t>
  </si>
  <si>
    <t>Desmognathus quadramaculatus</t>
  </si>
  <si>
    <t xml:space="preserve">Plethodontidae </t>
  </si>
  <si>
    <t>Amphibian</t>
  </si>
  <si>
    <t>Hemidactylium</t>
  </si>
  <si>
    <t>Hemidactylium scutatum</t>
  </si>
  <si>
    <t>Bird</t>
  </si>
  <si>
    <t>Mergus</t>
  </si>
  <si>
    <t>Mergus merganser</t>
  </si>
  <si>
    <t>Fulica</t>
  </si>
  <si>
    <t>Fulica americana</t>
  </si>
  <si>
    <t>Ardea</t>
  </si>
  <si>
    <t>Ardea cinerea</t>
  </si>
  <si>
    <t>Vireo</t>
  </si>
  <si>
    <t>Vireo olivaceus</t>
  </si>
  <si>
    <t>Aix</t>
  </si>
  <si>
    <t>Aix sponsa</t>
  </si>
  <si>
    <t>Sphyrapicus</t>
  </si>
  <si>
    <t>Sphyrapicus varius</t>
  </si>
  <si>
    <t>Corvus</t>
  </si>
  <si>
    <t>Corvus brachyrhynchos</t>
  </si>
  <si>
    <t>Spatula</t>
  </si>
  <si>
    <t>Spatula clypeata</t>
  </si>
  <si>
    <t>Bombycilla</t>
  </si>
  <si>
    <t>Bombycilla cedrorum</t>
  </si>
  <si>
    <t>Anas</t>
  </si>
  <si>
    <t>Anas platyrhynchos</t>
  </si>
  <si>
    <t>Gallinago</t>
  </si>
  <si>
    <t>Gallinago delicata</t>
  </si>
  <si>
    <t>Troglodytes</t>
  </si>
  <si>
    <t>Troglodytes troglodytes</t>
  </si>
  <si>
    <t>Spinus</t>
  </si>
  <si>
    <t>Spinus tristis</t>
  </si>
  <si>
    <t>Sayornis</t>
  </si>
  <si>
    <t>Sayornis phoebe</t>
  </si>
  <si>
    <t>Haemorhous</t>
  </si>
  <si>
    <t>Haemorhous mexicanus</t>
  </si>
  <si>
    <t>Certhia</t>
  </si>
  <si>
    <t>Certhia americana</t>
  </si>
  <si>
    <t>Columba</t>
  </si>
  <si>
    <t>Columba livia</t>
  </si>
  <si>
    <t>Buteo</t>
  </si>
  <si>
    <t>Buteo platypterus</t>
  </si>
  <si>
    <t>Junco</t>
  </si>
  <si>
    <t>Junco hyemalis</t>
  </si>
  <si>
    <t>Bovidae</t>
  </si>
  <si>
    <t>Bos</t>
  </si>
  <si>
    <t>Bos taurus</t>
  </si>
  <si>
    <t>Hominidae</t>
  </si>
  <si>
    <t>Homo</t>
  </si>
  <si>
    <t>Homo sapiens</t>
  </si>
  <si>
    <t>Equidae</t>
  </si>
  <si>
    <t>Equus</t>
  </si>
  <si>
    <t>Equus caballus</t>
  </si>
  <si>
    <t>Procyonidae</t>
  </si>
  <si>
    <t>Procyon</t>
  </si>
  <si>
    <t>Procyon lotor</t>
  </si>
  <si>
    <t>Cricetidae</t>
  </si>
  <si>
    <t>Peromyscus</t>
  </si>
  <si>
    <t>Peromyscus leucopus</t>
  </si>
  <si>
    <t>Ondatra</t>
  </si>
  <si>
    <t>Ondatra zibethicus</t>
  </si>
  <si>
    <t>Dipodidae</t>
  </si>
  <si>
    <t>Napaeozapus</t>
  </si>
  <si>
    <t>Napaeozapus insignis</t>
  </si>
  <si>
    <t>Atherinopsidae</t>
  </si>
  <si>
    <t>Labidesthes</t>
  </si>
  <si>
    <t>Labidesthes sicculus</t>
  </si>
  <si>
    <t>Catostomidae</t>
  </si>
  <si>
    <t>Catostomus</t>
  </si>
  <si>
    <t>Catostomus commersonii</t>
  </si>
  <si>
    <t>Hypentelium</t>
  </si>
  <si>
    <t>Hypentelium nigricans</t>
  </si>
  <si>
    <t>Moxostoma</t>
  </si>
  <si>
    <t>Moxostoma erythrurum</t>
  </si>
  <si>
    <t>Moxostoma carinatum</t>
  </si>
  <si>
    <t>Moxostoma duquesnei</t>
  </si>
  <si>
    <t>Moxostoma macrolepidotum</t>
  </si>
  <si>
    <t>Ictiobus</t>
  </si>
  <si>
    <t>Ictiobus bubalus</t>
  </si>
  <si>
    <t>Centrarchidae</t>
  </si>
  <si>
    <t>Lepomis</t>
  </si>
  <si>
    <t>Lepomis auritus</t>
  </si>
  <si>
    <t>Lepomis cyanellus</t>
  </si>
  <si>
    <t>Micropterus</t>
  </si>
  <si>
    <t>Micropterus salmoides</t>
  </si>
  <si>
    <t>Micropterus punctulatus</t>
  </si>
  <si>
    <t>Lepomis macrochirus</t>
  </si>
  <si>
    <t>Pomoxis</t>
  </si>
  <si>
    <t>Pomoxis nigromaculatus</t>
  </si>
  <si>
    <t>Pomoxis annularis</t>
  </si>
  <si>
    <t>Micropterus dolomieu</t>
  </si>
  <si>
    <t>Lepomis megalotis</t>
  </si>
  <si>
    <t>Ambloplites</t>
  </si>
  <si>
    <t>Ambloplites rupestris</t>
  </si>
  <si>
    <t>Clupeidae</t>
  </si>
  <si>
    <t>Dorosoma</t>
  </si>
  <si>
    <t>Dorosoma cepedianum</t>
  </si>
  <si>
    <t>Alosa</t>
  </si>
  <si>
    <t>Alosa chrysochloris</t>
  </si>
  <si>
    <t>Cottidae</t>
  </si>
  <si>
    <t>Cottus</t>
  </si>
  <si>
    <t>Cottus bairdii</t>
  </si>
  <si>
    <t>Cottus carolinae</t>
  </si>
  <si>
    <t>Cyprinidae</t>
  </si>
  <si>
    <t>Campostoma</t>
  </si>
  <si>
    <t>Campostoma anomalum</t>
  </si>
  <si>
    <t>Hybopsis</t>
  </si>
  <si>
    <t>Hybopsis amplops</t>
  </si>
  <si>
    <t>Luxilus</t>
  </si>
  <si>
    <t>Luxilus chrysocephalus</t>
  </si>
  <si>
    <t>Nocomis</t>
  </si>
  <si>
    <t>Nocomis micropogon</t>
  </si>
  <si>
    <t>Nocomis leptocephalus</t>
  </si>
  <si>
    <t>Notropis</t>
  </si>
  <si>
    <t>Notropis rubellus</t>
  </si>
  <si>
    <t>Notropis telescopus</t>
  </si>
  <si>
    <t>Rhinichthys</t>
  </si>
  <si>
    <t>Rhinichthys atratulus</t>
  </si>
  <si>
    <t>Rhinichthys cataractae</t>
  </si>
  <si>
    <t>Semotilus</t>
  </si>
  <si>
    <t>Semotilus atromaculatus</t>
  </si>
  <si>
    <t>Pimephales</t>
  </si>
  <si>
    <t>Pimephales promelas</t>
  </si>
  <si>
    <t>Fundulidae</t>
  </si>
  <si>
    <t>Fundulus</t>
  </si>
  <si>
    <t>Fundulus catenatus</t>
  </si>
  <si>
    <t>Ictaluridae</t>
  </si>
  <si>
    <t>Ameiurus</t>
  </si>
  <si>
    <t>Ameiurus natalis</t>
  </si>
  <si>
    <t>Pylodictis</t>
  </si>
  <si>
    <t>Pylodictis olivaris</t>
  </si>
  <si>
    <t>Noturus</t>
  </si>
  <si>
    <t>Noturus baileyi</t>
  </si>
  <si>
    <t>Moronidae</t>
  </si>
  <si>
    <t>Morone</t>
  </si>
  <si>
    <t>Morone chrysops</t>
  </si>
  <si>
    <t>Percidae</t>
  </si>
  <si>
    <t>Percina</t>
  </si>
  <si>
    <t>Percina aurantiaca</t>
  </si>
  <si>
    <t>Etheostoma</t>
  </si>
  <si>
    <t>Etheostoma blenniodes</t>
  </si>
  <si>
    <t>Etheostoma flabellare</t>
  </si>
  <si>
    <t>Etheostoma zonale</t>
  </si>
  <si>
    <t>Sander</t>
  </si>
  <si>
    <t>Sander vitreus</t>
  </si>
  <si>
    <t>Petromyzontidae</t>
  </si>
  <si>
    <t>Lampetra</t>
  </si>
  <si>
    <t>Lampetra appendix</t>
  </si>
  <si>
    <t>Salmonidae</t>
  </si>
  <si>
    <t>Oncorhynchus</t>
  </si>
  <si>
    <t>Oncorhynchus mykiss</t>
  </si>
  <si>
    <t>Salmo</t>
  </si>
  <si>
    <t>Salmo trutta</t>
  </si>
  <si>
    <t>Salvelinus</t>
  </si>
  <si>
    <t>Salvelinus fontinalis</t>
  </si>
  <si>
    <t>Poeciliidae</t>
  </si>
  <si>
    <t>Gambusia</t>
  </si>
  <si>
    <t>Gambusia affinis</t>
  </si>
  <si>
    <t>Colubridae</t>
  </si>
  <si>
    <t>Nerodia</t>
  </si>
  <si>
    <t>Nerodia sipedon</t>
  </si>
  <si>
    <t>Chelydridae</t>
  </si>
  <si>
    <t>Chelydra</t>
  </si>
  <si>
    <t>Chelydra serpentina</t>
  </si>
  <si>
    <t>Emydidae</t>
  </si>
  <si>
    <t>Trachemys</t>
  </si>
  <si>
    <t>Trachemys scripta</t>
  </si>
  <si>
    <t>Cyprinella</t>
  </si>
  <si>
    <t>Cyprinella galactura</t>
  </si>
  <si>
    <t>Notropis atherinoides</t>
  </si>
  <si>
    <t>Clinostomus</t>
  </si>
  <si>
    <t>Clinostomus funduloides</t>
  </si>
  <si>
    <t>Hemitremia</t>
  </si>
  <si>
    <t>Hemitremia flammea</t>
  </si>
  <si>
    <t>Chrosomus</t>
  </si>
  <si>
    <t>Chrosomus tennesseensis</t>
  </si>
  <si>
    <t>Pimephales notatus</t>
  </si>
  <si>
    <t>Percina evides</t>
  </si>
  <si>
    <t>Percina caprodes</t>
  </si>
  <si>
    <t>Etheostoma rufilineatum</t>
  </si>
  <si>
    <t>Salvelinus alpinus</t>
  </si>
  <si>
    <t>Erimonax</t>
  </si>
  <si>
    <t>Erimonax monachus</t>
  </si>
  <si>
    <t>Etheostoma camurum</t>
  </si>
  <si>
    <t>Etheostoma spectabile</t>
  </si>
  <si>
    <t>Etheostoma nigrum</t>
  </si>
  <si>
    <t>Cyprinus</t>
  </si>
  <si>
    <t>Cyprinus carpio</t>
  </si>
  <si>
    <t>Etheostoma caeruleum</t>
  </si>
  <si>
    <t>Cyprinella spiloptera</t>
  </si>
  <si>
    <t>Cyprinella whipplei</t>
  </si>
  <si>
    <t>Lythrurus</t>
  </si>
  <si>
    <t>Lythrurus umbratilis</t>
  </si>
  <si>
    <t>Hybognathus</t>
  </si>
  <si>
    <t>Hybognathus nuchalis</t>
  </si>
  <si>
    <t>Hybopsis amblops</t>
  </si>
  <si>
    <t>Carassius</t>
  </si>
  <si>
    <t>Carassius auratus</t>
  </si>
  <si>
    <t>Notropis buccata</t>
  </si>
  <si>
    <t>Notemigonus</t>
  </si>
  <si>
    <t>Notemigonus crysoleucas</t>
  </si>
  <si>
    <t>Notropis volucellus</t>
  </si>
  <si>
    <t>Minytrema</t>
  </si>
  <si>
    <t>Minytrema melanops</t>
  </si>
  <si>
    <t>Ictalurus</t>
  </si>
  <si>
    <t>Ictalurus punctatus</t>
  </si>
  <si>
    <t>Ameiurus melas</t>
  </si>
  <si>
    <t>Ameiurus nebulosus</t>
  </si>
  <si>
    <t>Notropis sabinae</t>
  </si>
  <si>
    <t>Batra R</t>
  </si>
  <si>
    <t>Class</t>
  </si>
  <si>
    <t>Family</t>
  </si>
  <si>
    <t>Genus</t>
  </si>
  <si>
    <t>Species</t>
  </si>
  <si>
    <t>Class mean</t>
  </si>
  <si>
    <t># above 120</t>
  </si>
  <si>
    <t>% above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</si>
</sst>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107"/>
  <sheetViews>
    <sheetView tabSelected="1" topLeftCell="A17" zoomScale="80" zoomScaleNormal="80" workbookViewId="0">
      <selection activeCell="E30" sqref="E30"/>
    </sheetView>
  </sheetViews>
  <sheetFormatPr defaultRowHeight="14.4" x14ac:dyDescent="0.3"/>
  <cols>
    <col min="1" max="1" width="6.21875" customWidth="1"/>
    <col min="2" max="2" width="20.109375" customWidth="1"/>
    <col min="3" max="3" width="20.109375" style="1" customWidth="1"/>
    <col min="4" max="4" width="19.33203125" style="1" customWidth="1"/>
    <col min="5" max="5" width="29.6640625" style="1" customWidth="1"/>
    <col min="6" max="12" width="11.5546875" style="1" customWidth="1"/>
    <col min="13" max="13" width="13.5546875" style="1" customWidth="1"/>
    <col min="14" max="14" width="8.88671875" style="2"/>
    <col min="15" max="33" width="8.88671875" style="1"/>
  </cols>
  <sheetData>
    <row r="2" spans="2:57" x14ac:dyDescent="0.3">
      <c r="N2" s="12" t="s">
        <v>61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 t="s">
        <v>311</v>
      </c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2:57" x14ac:dyDescent="0.3">
      <c r="F3" s="8" t="s">
        <v>61</v>
      </c>
      <c r="G3" s="9"/>
      <c r="H3" s="9"/>
      <c r="I3" s="9"/>
      <c r="J3" s="8" t="s">
        <v>311</v>
      </c>
      <c r="K3" s="9"/>
      <c r="L3" s="9"/>
      <c r="M3" s="9"/>
      <c r="N3" s="10" t="s">
        <v>60</v>
      </c>
      <c r="O3" s="3" t="s">
        <v>1</v>
      </c>
      <c r="P3" s="3" t="s">
        <v>2</v>
      </c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13</v>
      </c>
      <c r="AB3" s="3" t="s">
        <v>14</v>
      </c>
      <c r="AC3" s="3" t="s">
        <v>15</v>
      </c>
      <c r="AD3" s="3" t="s">
        <v>16</v>
      </c>
      <c r="AE3" s="3" t="s">
        <v>17</v>
      </c>
      <c r="AF3" s="3" t="s">
        <v>18</v>
      </c>
      <c r="AG3" s="3" t="s">
        <v>0</v>
      </c>
      <c r="AH3" s="3" t="s">
        <v>26</v>
      </c>
      <c r="AI3" s="3" t="s">
        <v>27</v>
      </c>
      <c r="AJ3" s="3" t="s">
        <v>28</v>
      </c>
      <c r="AK3" s="3" t="s">
        <v>29</v>
      </c>
      <c r="AL3" s="3" t="s">
        <v>30</v>
      </c>
      <c r="AM3" s="3" t="s">
        <v>31</v>
      </c>
      <c r="AN3" s="3" t="s">
        <v>1</v>
      </c>
      <c r="AO3" s="3" t="s">
        <v>2</v>
      </c>
      <c r="AP3" s="3" t="s">
        <v>3</v>
      </c>
      <c r="AQ3" s="3" t="s">
        <v>4</v>
      </c>
      <c r="AR3" s="3" t="s">
        <v>5</v>
      </c>
      <c r="AS3" s="3" t="s">
        <v>6</v>
      </c>
      <c r="AT3" s="3" t="s">
        <v>7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13</v>
      </c>
      <c r="BA3" s="3" t="s">
        <v>14</v>
      </c>
      <c r="BB3" s="3" t="s">
        <v>15</v>
      </c>
      <c r="BC3" s="3" t="s">
        <v>16</v>
      </c>
      <c r="BD3" s="3" t="s">
        <v>17</v>
      </c>
      <c r="BE3" s="3" t="s">
        <v>18</v>
      </c>
    </row>
    <row r="4" spans="2:57" x14ac:dyDescent="0.3">
      <c r="B4" s="8" t="s">
        <v>312</v>
      </c>
      <c r="C4" s="8" t="s">
        <v>313</v>
      </c>
      <c r="D4" s="8" t="s">
        <v>314</v>
      </c>
      <c r="E4" s="11" t="s">
        <v>315</v>
      </c>
      <c r="F4" s="8" t="s">
        <v>18</v>
      </c>
      <c r="G4" s="9" t="s">
        <v>316</v>
      </c>
      <c r="H4" s="9" t="s">
        <v>317</v>
      </c>
      <c r="I4" s="9" t="s">
        <v>318</v>
      </c>
      <c r="J4" s="8" t="s">
        <v>18</v>
      </c>
      <c r="K4" s="9" t="s">
        <v>316</v>
      </c>
      <c r="L4" s="9" t="s">
        <v>317</v>
      </c>
      <c r="M4" s="9" t="s">
        <v>318</v>
      </c>
      <c r="N4" s="10" t="s">
        <v>19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32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</row>
    <row r="5" spans="2:57" x14ac:dyDescent="0.3">
      <c r="B5" s="3" t="s">
        <v>57</v>
      </c>
      <c r="C5" s="5" t="s">
        <v>84</v>
      </c>
      <c r="D5" s="5" t="s">
        <v>85</v>
      </c>
      <c r="E5" s="6" t="s">
        <v>86</v>
      </c>
      <c r="F5" s="3">
        <v>0</v>
      </c>
      <c r="G5" s="3">
        <f>AVERAGE(F5:F20)</f>
        <v>0</v>
      </c>
      <c r="H5" s="3">
        <f>COUNTIF(F5:F20,"&gt;120")</f>
        <v>0</v>
      </c>
      <c r="I5" s="3">
        <f>H5/16</f>
        <v>0</v>
      </c>
      <c r="J5" s="3">
        <v>0</v>
      </c>
      <c r="K5" s="3">
        <f>AVERAGE(J5:J20)</f>
        <v>133.15312500000002</v>
      </c>
      <c r="L5" s="3">
        <f>COUNTIF(J5:J20,"&gt;120")</f>
        <v>6</v>
      </c>
      <c r="M5" s="3">
        <f>L5/16</f>
        <v>0.375</v>
      </c>
      <c r="N5" s="10" t="s">
        <v>19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 t="s">
        <v>39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</row>
    <row r="6" spans="2:57" x14ac:dyDescent="0.3">
      <c r="B6" s="3" t="s">
        <v>57</v>
      </c>
      <c r="C6" s="5" t="s">
        <v>84</v>
      </c>
      <c r="D6" s="5" t="s">
        <v>85</v>
      </c>
      <c r="E6" s="6" t="s">
        <v>87</v>
      </c>
      <c r="F6" s="3">
        <v>0</v>
      </c>
      <c r="G6" s="3"/>
      <c r="H6" s="3"/>
      <c r="I6" s="3"/>
      <c r="J6" s="3">
        <v>0</v>
      </c>
      <c r="K6" s="3"/>
      <c r="L6" s="3"/>
      <c r="M6" s="3"/>
      <c r="N6" s="10" t="s">
        <v>19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 t="s">
        <v>39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</row>
    <row r="7" spans="2:57" x14ac:dyDescent="0.3">
      <c r="B7" s="3" t="s">
        <v>57</v>
      </c>
      <c r="C7" s="5" t="s">
        <v>84</v>
      </c>
      <c r="D7" s="5" t="s">
        <v>85</v>
      </c>
      <c r="E7" s="6" t="s">
        <v>95</v>
      </c>
      <c r="F7" s="3">
        <v>0</v>
      </c>
      <c r="G7" s="3"/>
      <c r="H7" s="3"/>
      <c r="I7" s="3"/>
      <c r="J7" s="3">
        <v>0</v>
      </c>
      <c r="K7" s="3"/>
      <c r="L7" s="3"/>
      <c r="M7" s="3"/>
      <c r="N7" s="10" t="s">
        <v>19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 t="s">
        <v>39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</row>
    <row r="8" spans="2:57" x14ac:dyDescent="0.3">
      <c r="B8" s="3" t="s">
        <v>57</v>
      </c>
      <c r="C8" s="5" t="s">
        <v>62</v>
      </c>
      <c r="D8" s="5" t="s">
        <v>63</v>
      </c>
      <c r="E8" s="6" t="s">
        <v>64</v>
      </c>
      <c r="F8" s="3">
        <v>0</v>
      </c>
      <c r="G8" s="3"/>
      <c r="H8" s="3"/>
      <c r="I8" s="3"/>
      <c r="J8" s="3">
        <v>0</v>
      </c>
      <c r="K8" s="3"/>
      <c r="L8" s="3"/>
      <c r="M8" s="3"/>
      <c r="N8" s="10" t="s">
        <v>19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 t="s">
        <v>33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</row>
    <row r="9" spans="2:57" x14ac:dyDescent="0.3">
      <c r="B9" s="3" t="s">
        <v>57</v>
      </c>
      <c r="C9" s="5" t="s">
        <v>81</v>
      </c>
      <c r="D9" s="5" t="s">
        <v>82</v>
      </c>
      <c r="E9" s="6" t="s">
        <v>83</v>
      </c>
      <c r="F9" s="3">
        <v>0</v>
      </c>
      <c r="G9" s="3"/>
      <c r="H9" s="3"/>
      <c r="I9" s="3"/>
      <c r="J9" s="3">
        <v>59.75</v>
      </c>
      <c r="K9" s="3"/>
      <c r="L9" s="3"/>
      <c r="M9" s="3"/>
      <c r="N9" s="10" t="s">
        <v>19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 t="s">
        <v>34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59.75</v>
      </c>
      <c r="BA9" s="3">
        <v>0</v>
      </c>
      <c r="BB9" s="3">
        <v>0</v>
      </c>
      <c r="BC9" s="3">
        <v>0</v>
      </c>
      <c r="BD9" s="3">
        <v>0</v>
      </c>
      <c r="BE9" s="3">
        <v>59.75</v>
      </c>
    </row>
    <row r="10" spans="2:57" x14ac:dyDescent="0.3">
      <c r="B10" s="3" t="s">
        <v>57</v>
      </c>
      <c r="C10" s="5" t="s">
        <v>81</v>
      </c>
      <c r="D10" s="5" t="s">
        <v>100</v>
      </c>
      <c r="E10" s="6" t="s">
        <v>101</v>
      </c>
      <c r="F10" s="3">
        <v>0</v>
      </c>
      <c r="G10" s="3"/>
      <c r="H10" s="3"/>
      <c r="I10" s="3"/>
      <c r="J10" s="3">
        <v>0</v>
      </c>
      <c r="K10" s="3"/>
      <c r="L10" s="3"/>
      <c r="M10" s="3"/>
      <c r="N10" s="10" t="s">
        <v>19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 t="s">
        <v>39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</row>
    <row r="11" spans="2:57" x14ac:dyDescent="0.3">
      <c r="B11" s="3" t="s">
        <v>57</v>
      </c>
      <c r="C11" s="5" t="s">
        <v>65</v>
      </c>
      <c r="D11" s="5" t="s">
        <v>72</v>
      </c>
      <c r="E11" s="6" t="s">
        <v>73</v>
      </c>
      <c r="F11" s="3">
        <v>0</v>
      </c>
      <c r="G11" s="3"/>
      <c r="H11" s="3"/>
      <c r="I11" s="3"/>
      <c r="J11" s="3">
        <v>284.8</v>
      </c>
      <c r="K11" s="3"/>
      <c r="L11" s="3"/>
      <c r="M11" s="3"/>
      <c r="N11" s="10" t="s">
        <v>19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 t="s">
        <v>38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284.8</v>
      </c>
      <c r="BB11" s="3">
        <v>0</v>
      </c>
      <c r="BC11" s="3">
        <v>0</v>
      </c>
      <c r="BD11" s="3">
        <v>0</v>
      </c>
      <c r="BE11" s="3">
        <v>284.8</v>
      </c>
    </row>
    <row r="12" spans="2:57" x14ac:dyDescent="0.3">
      <c r="B12" s="3" t="s">
        <v>57</v>
      </c>
      <c r="C12" s="5" t="s">
        <v>65</v>
      </c>
      <c r="D12" s="5" t="s">
        <v>72</v>
      </c>
      <c r="E12" s="6" t="s">
        <v>102</v>
      </c>
      <c r="F12" s="3">
        <v>0</v>
      </c>
      <c r="G12" s="3"/>
      <c r="H12" s="3"/>
      <c r="I12" s="3"/>
      <c r="J12" s="3">
        <v>284.8</v>
      </c>
      <c r="K12" s="3"/>
      <c r="L12" s="3"/>
      <c r="M12" s="3"/>
      <c r="N12" s="10" t="s">
        <v>19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 t="s">
        <v>38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284.8</v>
      </c>
      <c r="BB12" s="3">
        <v>0</v>
      </c>
      <c r="BC12" s="3">
        <v>0</v>
      </c>
      <c r="BD12" s="3">
        <v>0</v>
      </c>
      <c r="BE12" s="3">
        <v>284.8</v>
      </c>
    </row>
    <row r="13" spans="2:57" x14ac:dyDescent="0.3">
      <c r="B13" s="3" t="s">
        <v>57</v>
      </c>
      <c r="C13" s="5" t="s">
        <v>65</v>
      </c>
      <c r="D13" s="5" t="s">
        <v>72</v>
      </c>
      <c r="E13" s="6" t="s">
        <v>74</v>
      </c>
      <c r="F13" s="3">
        <v>0</v>
      </c>
      <c r="G13" s="3"/>
      <c r="H13" s="3"/>
      <c r="I13" s="3"/>
      <c r="J13" s="3">
        <v>284.8</v>
      </c>
      <c r="K13" s="3"/>
      <c r="L13" s="3"/>
      <c r="M13" s="3"/>
      <c r="N13" s="10" t="s">
        <v>19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 t="s">
        <v>38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284.8</v>
      </c>
      <c r="BB13" s="3">
        <v>0</v>
      </c>
      <c r="BC13" s="3">
        <v>0</v>
      </c>
      <c r="BD13" s="3">
        <v>0</v>
      </c>
      <c r="BE13" s="3">
        <v>284.8</v>
      </c>
    </row>
    <row r="14" spans="2:57" x14ac:dyDescent="0.3">
      <c r="B14" s="3" t="s">
        <v>57</v>
      </c>
      <c r="C14" s="5" t="s">
        <v>65</v>
      </c>
      <c r="D14" s="5" t="s">
        <v>66</v>
      </c>
      <c r="E14" s="6" t="s">
        <v>67</v>
      </c>
      <c r="F14" s="3">
        <v>0</v>
      </c>
      <c r="G14" s="3"/>
      <c r="H14" s="3"/>
      <c r="I14" s="3"/>
      <c r="J14" s="3">
        <v>689.1</v>
      </c>
      <c r="K14" s="3"/>
      <c r="L14" s="3"/>
      <c r="M14" s="3"/>
      <c r="N14" s="10" t="s">
        <v>19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35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119.5</v>
      </c>
      <c r="BA14" s="3">
        <v>569.6</v>
      </c>
      <c r="BB14" s="3">
        <v>0</v>
      </c>
      <c r="BC14" s="3">
        <v>0</v>
      </c>
      <c r="BD14" s="3">
        <v>0</v>
      </c>
      <c r="BE14" s="3">
        <v>689.1</v>
      </c>
    </row>
    <row r="15" spans="2:57" x14ac:dyDescent="0.3">
      <c r="B15" s="3" t="s">
        <v>57</v>
      </c>
      <c r="C15" s="5" t="s">
        <v>103</v>
      </c>
      <c r="D15" s="5" t="s">
        <v>68</v>
      </c>
      <c r="E15" s="6" t="s">
        <v>69</v>
      </c>
      <c r="F15" s="3">
        <v>0</v>
      </c>
      <c r="G15" s="3"/>
      <c r="H15" s="3"/>
      <c r="I15" s="3"/>
      <c r="J15" s="3">
        <v>242.4</v>
      </c>
      <c r="K15" s="3"/>
      <c r="L15" s="3"/>
      <c r="M15" s="3"/>
      <c r="N15" s="10" t="s">
        <v>19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36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242.4</v>
      </c>
      <c r="BE15" s="3">
        <v>242.4</v>
      </c>
    </row>
    <row r="16" spans="2:57" x14ac:dyDescent="0.3">
      <c r="B16" s="3" t="s">
        <v>57</v>
      </c>
      <c r="C16" s="5" t="s">
        <v>75</v>
      </c>
      <c r="D16" s="5" t="s">
        <v>76</v>
      </c>
      <c r="E16" s="6" t="s">
        <v>91</v>
      </c>
      <c r="F16" s="3">
        <v>0</v>
      </c>
      <c r="G16" s="3"/>
      <c r="H16" s="3"/>
      <c r="I16" s="3"/>
      <c r="J16" s="3">
        <v>0</v>
      </c>
      <c r="K16" s="3"/>
      <c r="L16" s="3"/>
      <c r="M16" s="3"/>
      <c r="N16" s="10" t="s">
        <v>19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 t="s">
        <v>33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2:57" x14ac:dyDescent="0.3">
      <c r="B17" s="3" t="s">
        <v>57</v>
      </c>
      <c r="C17" s="5" t="s">
        <v>75</v>
      </c>
      <c r="D17" s="5" t="s">
        <v>76</v>
      </c>
      <c r="E17" s="6" t="s">
        <v>77</v>
      </c>
      <c r="F17" s="3">
        <v>0</v>
      </c>
      <c r="G17" s="3"/>
      <c r="H17" s="3"/>
      <c r="I17" s="3"/>
      <c r="J17" s="3">
        <v>0</v>
      </c>
      <c r="K17" s="3"/>
      <c r="L17" s="3"/>
      <c r="M17" s="3"/>
      <c r="N17" s="10" t="s">
        <v>19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 t="s">
        <v>33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2:57" x14ac:dyDescent="0.3">
      <c r="B18" s="3" t="s">
        <v>57</v>
      </c>
      <c r="C18" s="5" t="s">
        <v>75</v>
      </c>
      <c r="D18" s="5" t="s">
        <v>78</v>
      </c>
      <c r="E18" s="6" t="s">
        <v>79</v>
      </c>
      <c r="F18" s="3">
        <v>0</v>
      </c>
      <c r="G18" s="3"/>
      <c r="H18" s="3"/>
      <c r="I18" s="3"/>
      <c r="J18" s="3">
        <v>0</v>
      </c>
      <c r="K18" s="3"/>
      <c r="L18" s="3"/>
      <c r="M18" s="3"/>
      <c r="N18" s="10" t="s">
        <v>19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 t="s">
        <v>33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</row>
    <row r="19" spans="2:57" x14ac:dyDescent="0.3">
      <c r="B19" s="3" t="s">
        <v>57</v>
      </c>
      <c r="C19" s="5" t="s">
        <v>75</v>
      </c>
      <c r="D19" s="5" t="s">
        <v>78</v>
      </c>
      <c r="E19" s="6" t="s">
        <v>80</v>
      </c>
      <c r="F19" s="3">
        <v>0</v>
      </c>
      <c r="G19" s="3"/>
      <c r="H19" s="3"/>
      <c r="I19" s="3"/>
      <c r="J19" s="3">
        <v>0</v>
      </c>
      <c r="K19" s="3"/>
      <c r="L19" s="3"/>
      <c r="M19" s="3"/>
      <c r="N19" s="10" t="s">
        <v>19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 t="s">
        <v>33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</row>
    <row r="20" spans="2:57" x14ac:dyDescent="0.3">
      <c r="B20" s="3" t="s">
        <v>57</v>
      </c>
      <c r="C20" s="5" t="s">
        <v>92</v>
      </c>
      <c r="D20" s="5" t="s">
        <v>93</v>
      </c>
      <c r="E20" s="6" t="s">
        <v>94</v>
      </c>
      <c r="F20" s="3">
        <v>0</v>
      </c>
      <c r="G20" s="3"/>
      <c r="H20" s="3"/>
      <c r="I20" s="3"/>
      <c r="J20" s="3">
        <v>284.8</v>
      </c>
      <c r="K20" s="3"/>
      <c r="L20" s="3"/>
      <c r="M20" s="3"/>
      <c r="N20" s="10" t="s">
        <v>19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38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284.8</v>
      </c>
      <c r="BB20" s="3">
        <v>0</v>
      </c>
      <c r="BC20" s="3">
        <v>0</v>
      </c>
      <c r="BD20" s="3">
        <v>0</v>
      </c>
      <c r="BE20" s="3">
        <v>284.8</v>
      </c>
    </row>
    <row r="21" spans="2:57" x14ac:dyDescent="0.3">
      <c r="B21" s="3" t="s">
        <v>56</v>
      </c>
      <c r="C21" s="5" t="s">
        <v>107</v>
      </c>
      <c r="D21" s="5" t="s">
        <v>116</v>
      </c>
      <c r="E21" s="6" t="s">
        <v>117</v>
      </c>
      <c r="F21" s="3">
        <v>10.199999999999999</v>
      </c>
      <c r="G21" s="3">
        <f>AVERAGE(F21:F38)</f>
        <v>10.199999999999998</v>
      </c>
      <c r="H21" s="3">
        <f>COUNTIF(F21:F38,"&gt;120")</f>
        <v>0</v>
      </c>
      <c r="I21" s="3">
        <f>H21/18</f>
        <v>0</v>
      </c>
      <c r="J21" s="3">
        <v>36.9</v>
      </c>
      <c r="K21" s="3">
        <f>AVERAGE(J21:J38)</f>
        <v>40.219444444444434</v>
      </c>
      <c r="L21" s="3">
        <f>COUNTIF(J21:J38,"&gt;120")</f>
        <v>0</v>
      </c>
      <c r="M21" s="3">
        <f>L21/18</f>
        <v>0</v>
      </c>
      <c r="N21" s="10" t="s">
        <v>22</v>
      </c>
      <c r="O21" s="3">
        <v>0</v>
      </c>
      <c r="P21" s="3">
        <v>10.199999999999999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10.199999999999999</v>
      </c>
      <c r="AG21" s="3" t="s">
        <v>40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36.9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36.9</v>
      </c>
    </row>
    <row r="22" spans="2:57" x14ac:dyDescent="0.3">
      <c r="B22" s="3" t="s">
        <v>56</v>
      </c>
      <c r="C22" s="5" t="s">
        <v>107</v>
      </c>
      <c r="D22" s="5" t="s">
        <v>126</v>
      </c>
      <c r="E22" s="6" t="s">
        <v>127</v>
      </c>
      <c r="F22" s="3">
        <v>10.199999999999999</v>
      </c>
      <c r="G22" s="3"/>
      <c r="H22" s="3"/>
      <c r="I22" s="3"/>
      <c r="J22" s="3">
        <v>36.9</v>
      </c>
      <c r="K22" s="3"/>
      <c r="L22" s="3"/>
      <c r="M22" s="3"/>
      <c r="N22" s="10" t="s">
        <v>22</v>
      </c>
      <c r="O22" s="3">
        <v>0</v>
      </c>
      <c r="P22" s="3">
        <v>10.199999999999999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10.199999999999999</v>
      </c>
      <c r="AG22" s="3" t="s">
        <v>40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36.9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36.9</v>
      </c>
    </row>
    <row r="23" spans="2:57" x14ac:dyDescent="0.3">
      <c r="B23" s="3" t="s">
        <v>56</v>
      </c>
      <c r="C23" s="5" t="s">
        <v>107</v>
      </c>
      <c r="D23" s="5" t="s">
        <v>112</v>
      </c>
      <c r="E23" s="6" t="s">
        <v>113</v>
      </c>
      <c r="F23" s="3">
        <v>10.199999999999999</v>
      </c>
      <c r="G23" s="3"/>
      <c r="H23" s="3"/>
      <c r="I23" s="3"/>
      <c r="J23" s="3">
        <v>36.9</v>
      </c>
      <c r="K23" s="3"/>
      <c r="L23" s="3"/>
      <c r="M23" s="3"/>
      <c r="N23" s="10" t="s">
        <v>22</v>
      </c>
      <c r="O23" s="3">
        <v>0</v>
      </c>
      <c r="P23" s="3">
        <v>10.199999999999999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10.199999999999999</v>
      </c>
      <c r="AG23" s="3" t="s">
        <v>40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36.9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36.9</v>
      </c>
    </row>
    <row r="24" spans="2:57" x14ac:dyDescent="0.3">
      <c r="B24" s="3" t="s">
        <v>56</v>
      </c>
      <c r="C24" s="5" t="s">
        <v>107</v>
      </c>
      <c r="D24" s="5" t="s">
        <v>124</v>
      </c>
      <c r="E24" s="6" t="s">
        <v>125</v>
      </c>
      <c r="F24" s="3">
        <v>10.199999999999999</v>
      </c>
      <c r="G24" s="3"/>
      <c r="H24" s="3"/>
      <c r="I24" s="3"/>
      <c r="J24" s="3">
        <v>36.9</v>
      </c>
      <c r="K24" s="3"/>
      <c r="L24" s="3"/>
      <c r="M24" s="3"/>
      <c r="N24" s="10" t="s">
        <v>22</v>
      </c>
      <c r="O24" s="3">
        <v>0</v>
      </c>
      <c r="P24" s="3">
        <v>10.199999999999999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10.199999999999999</v>
      </c>
      <c r="AG24" s="3" t="s">
        <v>40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36.9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36.9</v>
      </c>
    </row>
    <row r="25" spans="2:57" x14ac:dyDescent="0.3">
      <c r="B25" s="3" t="s">
        <v>56</v>
      </c>
      <c r="C25" s="5" t="s">
        <v>107</v>
      </c>
      <c r="D25" s="5" t="s">
        <v>142</v>
      </c>
      <c r="E25" s="6" t="s">
        <v>143</v>
      </c>
      <c r="F25" s="3">
        <v>10.199999999999999</v>
      </c>
      <c r="G25" s="3"/>
      <c r="H25" s="3"/>
      <c r="I25" s="3"/>
      <c r="J25" s="3">
        <v>36.9</v>
      </c>
      <c r="K25" s="3"/>
      <c r="L25" s="3"/>
      <c r="M25" s="3"/>
      <c r="N25" s="10" t="s">
        <v>22</v>
      </c>
      <c r="O25" s="3">
        <v>0</v>
      </c>
      <c r="P25" s="3">
        <v>10.199999999999999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10.199999999999999</v>
      </c>
      <c r="AG25" s="3" t="s">
        <v>40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36.9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36.9</v>
      </c>
    </row>
    <row r="26" spans="2:57" x14ac:dyDescent="0.3">
      <c r="B26" s="3" t="s">
        <v>56</v>
      </c>
      <c r="C26" s="5" t="s">
        <v>107</v>
      </c>
      <c r="D26" s="5" t="s">
        <v>138</v>
      </c>
      <c r="E26" s="6" t="s">
        <v>139</v>
      </c>
      <c r="F26" s="3">
        <v>10.199999999999999</v>
      </c>
      <c r="G26" s="3"/>
      <c r="H26" s="3"/>
      <c r="I26" s="3"/>
      <c r="J26" s="3">
        <v>36.9</v>
      </c>
      <c r="K26" s="3"/>
      <c r="L26" s="3"/>
      <c r="M26" s="3"/>
      <c r="N26" s="10" t="s">
        <v>22</v>
      </c>
      <c r="O26" s="3">
        <v>0</v>
      </c>
      <c r="P26" s="3">
        <v>10.199999999999999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10.199999999999999</v>
      </c>
      <c r="AG26" s="3" t="s">
        <v>40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36.9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36.9</v>
      </c>
    </row>
    <row r="27" spans="2:57" x14ac:dyDescent="0.3">
      <c r="B27" s="3" t="s">
        <v>56</v>
      </c>
      <c r="C27" s="5" t="s">
        <v>107</v>
      </c>
      <c r="D27" s="5" t="s">
        <v>140</v>
      </c>
      <c r="E27" s="6" t="s">
        <v>141</v>
      </c>
      <c r="F27" s="3">
        <v>10.199999999999999</v>
      </c>
      <c r="G27" s="3"/>
      <c r="H27" s="3"/>
      <c r="I27" s="3"/>
      <c r="J27" s="3">
        <v>96.65</v>
      </c>
      <c r="K27" s="3"/>
      <c r="L27" s="3"/>
      <c r="M27" s="3"/>
      <c r="N27" s="10" t="s">
        <v>22</v>
      </c>
      <c r="O27" s="3">
        <v>0</v>
      </c>
      <c r="P27" s="3">
        <v>10.199999999999999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10.199999999999999</v>
      </c>
      <c r="AG27" s="3" t="s">
        <v>41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36.9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59.75</v>
      </c>
      <c r="BA27" s="3">
        <v>0</v>
      </c>
      <c r="BB27" s="3">
        <v>0</v>
      </c>
      <c r="BC27" s="3">
        <v>0</v>
      </c>
      <c r="BD27" s="3">
        <v>0</v>
      </c>
      <c r="BE27" s="3">
        <v>96.65</v>
      </c>
    </row>
    <row r="28" spans="2:57" x14ac:dyDescent="0.3">
      <c r="B28" s="3" t="s">
        <v>56</v>
      </c>
      <c r="C28" s="5" t="s">
        <v>107</v>
      </c>
      <c r="D28" s="5" t="s">
        <v>120</v>
      </c>
      <c r="E28" s="6" t="s">
        <v>121</v>
      </c>
      <c r="F28" s="3">
        <v>10.199999999999999</v>
      </c>
      <c r="G28" s="3"/>
      <c r="H28" s="3"/>
      <c r="I28" s="3"/>
      <c r="J28" s="3">
        <v>36.9</v>
      </c>
      <c r="K28" s="3"/>
      <c r="L28" s="3"/>
      <c r="M28" s="3"/>
      <c r="N28" s="10" t="s">
        <v>22</v>
      </c>
      <c r="O28" s="3">
        <v>0</v>
      </c>
      <c r="P28" s="3">
        <v>10.199999999999999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10.199999999999999</v>
      </c>
      <c r="AG28" s="3" t="s">
        <v>40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36.9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36.9</v>
      </c>
    </row>
    <row r="29" spans="2:57" x14ac:dyDescent="0.3">
      <c r="B29" s="3" t="s">
        <v>56</v>
      </c>
      <c r="C29" s="5" t="s">
        <v>107</v>
      </c>
      <c r="D29" s="5" t="s">
        <v>110</v>
      </c>
      <c r="E29" s="6" t="s">
        <v>111</v>
      </c>
      <c r="F29" s="3">
        <v>10.199999999999999</v>
      </c>
      <c r="G29" s="3"/>
      <c r="H29" s="3"/>
      <c r="I29" s="3"/>
      <c r="J29" s="3">
        <v>36.9</v>
      </c>
      <c r="K29" s="3"/>
      <c r="L29" s="3"/>
      <c r="M29" s="3"/>
      <c r="N29" s="10" t="s">
        <v>22</v>
      </c>
      <c r="O29" s="3">
        <v>0</v>
      </c>
      <c r="P29" s="3">
        <v>10.199999999999999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10.199999999999999</v>
      </c>
      <c r="AG29" s="3" t="s">
        <v>40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36.9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36.9</v>
      </c>
    </row>
    <row r="30" spans="2:57" x14ac:dyDescent="0.3">
      <c r="B30" s="3" t="s">
        <v>56</v>
      </c>
      <c r="C30" s="5" t="s">
        <v>107</v>
      </c>
      <c r="D30" s="5" t="s">
        <v>128</v>
      </c>
      <c r="E30" s="6" t="s">
        <v>129</v>
      </c>
      <c r="F30" s="3">
        <v>10.199999999999999</v>
      </c>
      <c r="G30" s="3"/>
      <c r="H30" s="3"/>
      <c r="I30" s="3"/>
      <c r="J30" s="3">
        <v>36.9</v>
      </c>
      <c r="K30" s="3"/>
      <c r="L30" s="3"/>
      <c r="M30" s="3"/>
      <c r="N30" s="10" t="s">
        <v>22</v>
      </c>
      <c r="O30" s="3">
        <v>0</v>
      </c>
      <c r="P30" s="3">
        <v>10.199999999999999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10.199999999999999</v>
      </c>
      <c r="AG30" s="3" t="s">
        <v>40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36.9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36.9</v>
      </c>
    </row>
    <row r="31" spans="2:57" x14ac:dyDescent="0.3">
      <c r="B31" s="3" t="s">
        <v>56</v>
      </c>
      <c r="C31" s="5" t="s">
        <v>107</v>
      </c>
      <c r="D31" s="5" t="s">
        <v>136</v>
      </c>
      <c r="E31" s="6" t="s">
        <v>137</v>
      </c>
      <c r="F31" s="3">
        <v>10.199999999999999</v>
      </c>
      <c r="G31" s="3"/>
      <c r="H31" s="3"/>
      <c r="I31" s="3"/>
      <c r="J31" s="3">
        <v>36.9</v>
      </c>
      <c r="K31" s="3"/>
      <c r="L31" s="3"/>
      <c r="M31" s="3"/>
      <c r="N31" s="10" t="s">
        <v>22</v>
      </c>
      <c r="O31" s="3">
        <v>0</v>
      </c>
      <c r="P31" s="3">
        <v>10.199999999999999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10.199999999999999</v>
      </c>
      <c r="AG31" s="3" t="s">
        <v>40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36.9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36.9</v>
      </c>
    </row>
    <row r="32" spans="2:57" x14ac:dyDescent="0.3">
      <c r="B32" s="3" t="s">
        <v>56</v>
      </c>
      <c r="C32" s="5" t="s">
        <v>107</v>
      </c>
      <c r="D32" s="5" t="s">
        <v>144</v>
      </c>
      <c r="E32" s="6" t="s">
        <v>145</v>
      </c>
      <c r="F32" s="3">
        <v>10.199999999999999</v>
      </c>
      <c r="G32" s="3"/>
      <c r="H32" s="3"/>
      <c r="I32" s="3"/>
      <c r="J32" s="3">
        <v>36.9</v>
      </c>
      <c r="K32" s="3"/>
      <c r="L32" s="3"/>
      <c r="M32" s="3"/>
      <c r="N32" s="10" t="s">
        <v>22</v>
      </c>
      <c r="O32" s="3">
        <v>0</v>
      </c>
      <c r="P32" s="3">
        <v>10.199999999999999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10.199999999999999</v>
      </c>
      <c r="AG32" s="3" t="s">
        <v>40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36.9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36.9</v>
      </c>
    </row>
    <row r="33" spans="2:57" x14ac:dyDescent="0.3">
      <c r="B33" s="3" t="s">
        <v>56</v>
      </c>
      <c r="C33" s="5" t="s">
        <v>107</v>
      </c>
      <c r="D33" s="5" t="s">
        <v>108</v>
      </c>
      <c r="E33" s="6" t="s">
        <v>109</v>
      </c>
      <c r="F33" s="3">
        <v>10.199999999999999</v>
      </c>
      <c r="G33" s="3"/>
      <c r="H33" s="3"/>
      <c r="I33" s="3"/>
      <c r="J33" s="3">
        <v>36.9</v>
      </c>
      <c r="K33" s="3"/>
      <c r="L33" s="3"/>
      <c r="M33" s="3"/>
      <c r="N33" s="10" t="s">
        <v>22</v>
      </c>
      <c r="O33" s="3">
        <v>0</v>
      </c>
      <c r="P33" s="3">
        <v>10.199999999999999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10.199999999999999</v>
      </c>
      <c r="AG33" s="3" t="s">
        <v>40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36.9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36.9</v>
      </c>
    </row>
    <row r="34" spans="2:57" x14ac:dyDescent="0.3">
      <c r="B34" s="3" t="s">
        <v>56</v>
      </c>
      <c r="C34" s="5" t="s">
        <v>107</v>
      </c>
      <c r="D34" s="5" t="s">
        <v>134</v>
      </c>
      <c r="E34" s="6" t="s">
        <v>135</v>
      </c>
      <c r="F34" s="3">
        <v>10.199999999999999</v>
      </c>
      <c r="G34" s="3"/>
      <c r="H34" s="3"/>
      <c r="I34" s="3"/>
      <c r="J34" s="3">
        <v>36.9</v>
      </c>
      <c r="K34" s="3"/>
      <c r="L34" s="3"/>
      <c r="M34" s="3"/>
      <c r="N34" s="10" t="s">
        <v>22</v>
      </c>
      <c r="O34" s="3">
        <v>0</v>
      </c>
      <c r="P34" s="3">
        <v>10.199999999999999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10.199999999999999</v>
      </c>
      <c r="AG34" s="3" t="s">
        <v>40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36.9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36.9</v>
      </c>
    </row>
    <row r="35" spans="2:57" x14ac:dyDescent="0.3">
      <c r="B35" s="3" t="s">
        <v>56</v>
      </c>
      <c r="C35" s="5" t="s">
        <v>107</v>
      </c>
      <c r="D35" s="5" t="s">
        <v>118</v>
      </c>
      <c r="E35" s="6" t="s">
        <v>119</v>
      </c>
      <c r="F35" s="3">
        <v>10.199999999999999</v>
      </c>
      <c r="G35" s="3"/>
      <c r="H35" s="3"/>
      <c r="I35" s="3"/>
      <c r="J35" s="3">
        <v>36.9</v>
      </c>
      <c r="K35" s="3"/>
      <c r="L35" s="3"/>
      <c r="M35" s="3"/>
      <c r="N35" s="10" t="s">
        <v>22</v>
      </c>
      <c r="O35" s="3">
        <v>0</v>
      </c>
      <c r="P35" s="3">
        <v>10.199999999999999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10.199999999999999</v>
      </c>
      <c r="AG35" s="3" t="s">
        <v>40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36.9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36.9</v>
      </c>
    </row>
    <row r="36" spans="2:57" x14ac:dyDescent="0.3">
      <c r="B36" s="3" t="s">
        <v>56</v>
      </c>
      <c r="C36" s="5" t="s">
        <v>107</v>
      </c>
      <c r="D36" s="5" t="s">
        <v>132</v>
      </c>
      <c r="E36" s="6" t="s">
        <v>133</v>
      </c>
      <c r="F36" s="3">
        <v>10.199999999999999</v>
      </c>
      <c r="G36" s="3"/>
      <c r="H36" s="3"/>
      <c r="I36" s="3"/>
      <c r="J36" s="3">
        <v>36.9</v>
      </c>
      <c r="K36" s="3"/>
      <c r="L36" s="3"/>
      <c r="M36" s="3"/>
      <c r="N36" s="10" t="s">
        <v>22</v>
      </c>
      <c r="O36" s="3">
        <v>0</v>
      </c>
      <c r="P36" s="3">
        <v>10.199999999999999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10.199999999999999</v>
      </c>
      <c r="AG36" s="3" t="s">
        <v>40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36.9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36.9</v>
      </c>
    </row>
    <row r="37" spans="2:57" x14ac:dyDescent="0.3">
      <c r="B37" s="3" t="s">
        <v>56</v>
      </c>
      <c r="C37" s="5" t="s">
        <v>107</v>
      </c>
      <c r="D37" s="5" t="s">
        <v>130</v>
      </c>
      <c r="E37" s="6" t="s">
        <v>131</v>
      </c>
      <c r="F37" s="3">
        <v>10.199999999999999</v>
      </c>
      <c r="G37" s="3"/>
      <c r="H37" s="3"/>
      <c r="I37" s="3"/>
      <c r="J37" s="3">
        <v>36.9</v>
      </c>
      <c r="K37" s="3"/>
      <c r="L37" s="3"/>
      <c r="M37" s="3"/>
      <c r="N37" s="10" t="s">
        <v>22</v>
      </c>
      <c r="O37" s="3">
        <v>0</v>
      </c>
      <c r="P37" s="3">
        <v>10.199999999999999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10.199999999999999</v>
      </c>
      <c r="AG37" s="3" t="s">
        <v>40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36.9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36.9</v>
      </c>
    </row>
    <row r="38" spans="2:57" x14ac:dyDescent="0.3">
      <c r="B38" s="3" t="s">
        <v>56</v>
      </c>
      <c r="C38" s="5" t="s">
        <v>107</v>
      </c>
      <c r="D38" s="5" t="s">
        <v>114</v>
      </c>
      <c r="E38" s="6" t="s">
        <v>115</v>
      </c>
      <c r="F38" s="3">
        <v>10.199999999999999</v>
      </c>
      <c r="G38" s="3"/>
      <c r="H38" s="3"/>
      <c r="I38" s="3"/>
      <c r="J38" s="3">
        <v>36.9</v>
      </c>
      <c r="K38" s="3"/>
      <c r="L38" s="3"/>
      <c r="M38" s="3"/>
      <c r="N38" s="10" t="s">
        <v>22</v>
      </c>
      <c r="O38" s="3">
        <v>0</v>
      </c>
      <c r="P38" s="3">
        <v>10.199999999999999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10.199999999999999</v>
      </c>
      <c r="AG38" s="3" t="s">
        <v>40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36.9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36.9</v>
      </c>
    </row>
    <row r="39" spans="2:57" x14ac:dyDescent="0.3">
      <c r="B39" s="3" t="s">
        <v>58</v>
      </c>
      <c r="C39" s="5" t="s">
        <v>146</v>
      </c>
      <c r="D39" s="5" t="s">
        <v>147</v>
      </c>
      <c r="E39" s="6" t="s">
        <v>148</v>
      </c>
      <c r="F39" s="3">
        <v>0</v>
      </c>
      <c r="G39" s="3">
        <f>AVERAGE(F39:F45)</f>
        <v>0</v>
      </c>
      <c r="H39" s="3">
        <f>COUNTIF(F39:F45,"&gt;120")</f>
        <v>0</v>
      </c>
      <c r="I39" s="3">
        <f>H39/7</f>
        <v>0</v>
      </c>
      <c r="J39" s="3">
        <v>96.65</v>
      </c>
      <c r="K39" s="3">
        <f>AVERAGE(J39:J45)</f>
        <v>69.035714285714292</v>
      </c>
      <c r="L39" s="3">
        <f>COUNTIF(J39:J45,"&gt;120")</f>
        <v>0</v>
      </c>
      <c r="M39" s="3">
        <f>L39/7</f>
        <v>0</v>
      </c>
      <c r="N39" s="10" t="s">
        <v>19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 t="s">
        <v>41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36.9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59.75</v>
      </c>
      <c r="BA39" s="3">
        <v>0</v>
      </c>
      <c r="BB39" s="3">
        <v>0</v>
      </c>
      <c r="BC39" s="3">
        <v>0</v>
      </c>
      <c r="BD39" s="3">
        <v>0</v>
      </c>
      <c r="BE39" s="3">
        <v>96.65</v>
      </c>
    </row>
    <row r="40" spans="2:57" x14ac:dyDescent="0.3">
      <c r="B40" s="3" t="s">
        <v>58</v>
      </c>
      <c r="C40" s="5" t="s">
        <v>158</v>
      </c>
      <c r="D40" s="5" t="s">
        <v>161</v>
      </c>
      <c r="E40" s="6" t="s">
        <v>162</v>
      </c>
      <c r="F40" s="3">
        <v>0</v>
      </c>
      <c r="G40" s="3"/>
      <c r="H40" s="3"/>
      <c r="I40" s="3"/>
      <c r="J40" s="3">
        <v>96.65</v>
      </c>
      <c r="K40" s="3"/>
      <c r="L40" s="3"/>
      <c r="M40" s="3"/>
      <c r="N40" s="10" t="s">
        <v>19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 t="s">
        <v>41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36.9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59.75</v>
      </c>
      <c r="BA40" s="3">
        <v>0</v>
      </c>
      <c r="BB40" s="3">
        <v>0</v>
      </c>
      <c r="BC40" s="3">
        <v>0</v>
      </c>
      <c r="BD40" s="3">
        <v>0</v>
      </c>
      <c r="BE40" s="3">
        <v>96.65</v>
      </c>
    </row>
    <row r="41" spans="2:57" x14ac:dyDescent="0.3">
      <c r="B41" s="3" t="s">
        <v>58</v>
      </c>
      <c r="C41" s="5" t="s">
        <v>158</v>
      </c>
      <c r="D41" s="5" t="s">
        <v>159</v>
      </c>
      <c r="E41" s="6" t="s">
        <v>160</v>
      </c>
      <c r="F41" s="3">
        <v>0</v>
      </c>
      <c r="G41" s="3"/>
      <c r="H41" s="3"/>
      <c r="I41" s="3"/>
      <c r="J41" s="3">
        <v>96.65</v>
      </c>
      <c r="K41" s="3"/>
      <c r="L41" s="3"/>
      <c r="M41" s="3"/>
      <c r="N41" s="10" t="s">
        <v>19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 t="s">
        <v>41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36.9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59.75</v>
      </c>
      <c r="BA41" s="3">
        <v>0</v>
      </c>
      <c r="BB41" s="3">
        <v>0</v>
      </c>
      <c r="BC41" s="3">
        <v>0</v>
      </c>
      <c r="BD41" s="3">
        <v>0</v>
      </c>
      <c r="BE41" s="3">
        <v>96.65</v>
      </c>
    </row>
    <row r="42" spans="2:57" x14ac:dyDescent="0.3">
      <c r="B42" s="3" t="s">
        <v>58</v>
      </c>
      <c r="C42" s="5" t="s">
        <v>163</v>
      </c>
      <c r="D42" s="5" t="s">
        <v>164</v>
      </c>
      <c r="E42" s="6" t="s">
        <v>165</v>
      </c>
      <c r="F42" s="3">
        <v>0</v>
      </c>
      <c r="G42" s="3"/>
      <c r="H42" s="3"/>
      <c r="I42" s="3"/>
      <c r="J42" s="3">
        <v>59.75</v>
      </c>
      <c r="K42" s="3"/>
      <c r="L42" s="3"/>
      <c r="M42" s="3"/>
      <c r="N42" s="10" t="s">
        <v>19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54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59.75</v>
      </c>
      <c r="BA42" s="3">
        <v>0</v>
      </c>
      <c r="BB42" s="3">
        <v>0</v>
      </c>
      <c r="BC42" s="3">
        <v>0</v>
      </c>
      <c r="BD42" s="3">
        <v>0</v>
      </c>
      <c r="BE42" s="3">
        <v>59.75</v>
      </c>
    </row>
    <row r="43" spans="2:57" x14ac:dyDescent="0.3">
      <c r="B43" s="3" t="s">
        <v>58</v>
      </c>
      <c r="C43" s="5" t="s">
        <v>152</v>
      </c>
      <c r="D43" s="5" t="s">
        <v>153</v>
      </c>
      <c r="E43" s="6" t="s">
        <v>154</v>
      </c>
      <c r="F43" s="3">
        <v>0</v>
      </c>
      <c r="G43" s="3"/>
      <c r="H43" s="3"/>
      <c r="I43" s="3"/>
      <c r="J43" s="3">
        <v>36.9</v>
      </c>
      <c r="K43" s="3"/>
      <c r="L43" s="3"/>
      <c r="M43" s="3"/>
      <c r="N43" s="10" t="s">
        <v>19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 t="s">
        <v>42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36.9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36.9</v>
      </c>
    </row>
    <row r="44" spans="2:57" x14ac:dyDescent="0.3">
      <c r="B44" s="3" t="s">
        <v>58</v>
      </c>
      <c r="C44" s="5" t="s">
        <v>149</v>
      </c>
      <c r="D44" s="5" t="s">
        <v>150</v>
      </c>
      <c r="E44" s="6" t="s">
        <v>151</v>
      </c>
      <c r="F44" s="3">
        <v>0</v>
      </c>
      <c r="G44" s="3"/>
      <c r="H44" s="3"/>
      <c r="I44" s="3"/>
      <c r="J44" s="3">
        <v>0</v>
      </c>
      <c r="K44" s="3"/>
      <c r="L44" s="3"/>
      <c r="M44" s="3"/>
      <c r="N44" s="10" t="s">
        <v>19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 t="s">
        <v>33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</row>
    <row r="45" spans="2:57" x14ac:dyDescent="0.3">
      <c r="B45" s="3" t="s">
        <v>58</v>
      </c>
      <c r="C45" s="5" t="s">
        <v>155</v>
      </c>
      <c r="D45" s="5" t="s">
        <v>156</v>
      </c>
      <c r="E45" s="6" t="s">
        <v>157</v>
      </c>
      <c r="F45" s="3">
        <v>0</v>
      </c>
      <c r="G45" s="3"/>
      <c r="H45" s="3"/>
      <c r="I45" s="3"/>
      <c r="J45" s="3">
        <v>96.65</v>
      </c>
      <c r="K45" s="3"/>
      <c r="L45" s="3"/>
      <c r="M45" s="3"/>
      <c r="N45" s="10" t="s">
        <v>19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41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36.9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59.75</v>
      </c>
      <c r="BA45" s="3">
        <v>0</v>
      </c>
      <c r="BB45" s="3">
        <v>0</v>
      </c>
      <c r="BC45" s="3">
        <v>0</v>
      </c>
      <c r="BD45" s="3">
        <v>0</v>
      </c>
      <c r="BE45" s="3">
        <v>96.65</v>
      </c>
    </row>
    <row r="46" spans="2:57" x14ac:dyDescent="0.3">
      <c r="B46" s="3" t="s">
        <v>55</v>
      </c>
      <c r="C46" s="5" t="s">
        <v>166</v>
      </c>
      <c r="D46" s="5" t="s">
        <v>167</v>
      </c>
      <c r="E46" s="6" t="s">
        <v>168</v>
      </c>
      <c r="F46" s="3">
        <v>84.9</v>
      </c>
      <c r="G46" s="3">
        <f>AVERAGE(F46:F104)</f>
        <v>84.899999999999991</v>
      </c>
      <c r="H46" s="3">
        <f>COUNTIF(F46:F104,"&gt;120")</f>
        <v>0</v>
      </c>
      <c r="I46" s="3">
        <f>H46/59</f>
        <v>0</v>
      </c>
      <c r="J46" s="3">
        <v>0</v>
      </c>
      <c r="K46" s="3">
        <f>AVERAGE(J46:J104)</f>
        <v>4.0508474576271185</v>
      </c>
      <c r="L46" s="3">
        <f>COUNTIF(J46:J104,"&gt;120")</f>
        <v>0</v>
      </c>
      <c r="M46" s="3">
        <f>L46/59</f>
        <v>0</v>
      </c>
      <c r="N46" s="10" t="s">
        <v>20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84.9</v>
      </c>
      <c r="AD46" s="3">
        <v>0</v>
      </c>
      <c r="AE46" s="3">
        <v>0</v>
      </c>
      <c r="AF46" s="3">
        <v>84.9</v>
      </c>
      <c r="AG46" s="3" t="s">
        <v>33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</row>
    <row r="47" spans="2:57" x14ac:dyDescent="0.3">
      <c r="B47" s="3" t="s">
        <v>55</v>
      </c>
      <c r="C47" s="5" t="s">
        <v>169</v>
      </c>
      <c r="D47" s="5" t="s">
        <v>170</v>
      </c>
      <c r="E47" s="6" t="s">
        <v>171</v>
      </c>
      <c r="F47" s="3">
        <v>84.9</v>
      </c>
      <c r="G47" s="3"/>
      <c r="H47" s="3"/>
      <c r="I47" s="3"/>
      <c r="J47" s="3">
        <v>0</v>
      </c>
      <c r="K47" s="3"/>
      <c r="L47" s="3"/>
      <c r="M47" s="3"/>
      <c r="N47" s="10" t="s">
        <v>20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84.9</v>
      </c>
      <c r="AD47" s="3">
        <v>0</v>
      </c>
      <c r="AE47" s="3">
        <v>0</v>
      </c>
      <c r="AF47" s="3">
        <v>84.9</v>
      </c>
      <c r="AG47" s="3" t="s">
        <v>33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</row>
    <row r="48" spans="2:57" x14ac:dyDescent="0.3">
      <c r="B48" s="3" t="s">
        <v>55</v>
      </c>
      <c r="C48" s="5" t="s">
        <v>169</v>
      </c>
      <c r="D48" s="5" t="s">
        <v>172</v>
      </c>
      <c r="E48" s="6" t="s">
        <v>173</v>
      </c>
      <c r="F48" s="3">
        <v>84.9</v>
      </c>
      <c r="G48" s="3"/>
      <c r="H48" s="3"/>
      <c r="I48" s="3"/>
      <c r="J48" s="3">
        <v>0</v>
      </c>
      <c r="K48" s="3"/>
      <c r="L48" s="3"/>
      <c r="M48" s="3"/>
      <c r="N48" s="10" t="s">
        <v>20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84.9</v>
      </c>
      <c r="AD48" s="3">
        <v>0</v>
      </c>
      <c r="AE48" s="3">
        <v>0</v>
      </c>
      <c r="AF48" s="3">
        <v>84.9</v>
      </c>
      <c r="AG48" s="3" t="s">
        <v>33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</row>
    <row r="49" spans="2:57" x14ac:dyDescent="0.3">
      <c r="B49" s="3" t="s">
        <v>55</v>
      </c>
      <c r="C49" s="5" t="s">
        <v>169</v>
      </c>
      <c r="D49" s="5" t="s">
        <v>179</v>
      </c>
      <c r="E49" s="6" t="s">
        <v>180</v>
      </c>
      <c r="F49" s="3">
        <v>84.9</v>
      </c>
      <c r="G49" s="3"/>
      <c r="H49" s="3"/>
      <c r="I49" s="3"/>
      <c r="J49" s="3">
        <v>0</v>
      </c>
      <c r="K49" s="3"/>
      <c r="L49" s="3"/>
      <c r="M49" s="3"/>
      <c r="N49" s="10" t="s">
        <v>20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84.9</v>
      </c>
      <c r="AD49" s="3">
        <v>0</v>
      </c>
      <c r="AE49" s="3">
        <v>0</v>
      </c>
      <c r="AF49" s="3">
        <v>84.9</v>
      </c>
      <c r="AG49" s="3" t="s">
        <v>33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</row>
    <row r="50" spans="2:57" x14ac:dyDescent="0.3">
      <c r="B50" s="3" t="s">
        <v>55</v>
      </c>
      <c r="C50" s="5" t="s">
        <v>169</v>
      </c>
      <c r="D50" s="5" t="s">
        <v>174</v>
      </c>
      <c r="E50" s="6" t="s">
        <v>176</v>
      </c>
      <c r="F50" s="3">
        <v>84.9</v>
      </c>
      <c r="G50" s="3"/>
      <c r="H50" s="3"/>
      <c r="I50" s="3"/>
      <c r="J50" s="3">
        <v>0</v>
      </c>
      <c r="K50" s="3"/>
      <c r="L50" s="3"/>
      <c r="M50" s="3"/>
      <c r="N50" s="10" t="s">
        <v>20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84.9</v>
      </c>
      <c r="AD50" s="3">
        <v>0</v>
      </c>
      <c r="AE50" s="3">
        <v>0</v>
      </c>
      <c r="AF50" s="3">
        <v>84.9</v>
      </c>
      <c r="AG50" s="3" t="s">
        <v>33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</row>
    <row r="51" spans="2:57" x14ac:dyDescent="0.3">
      <c r="B51" s="3" t="s">
        <v>55</v>
      </c>
      <c r="C51" s="5" t="s">
        <v>169</v>
      </c>
      <c r="D51" s="5" t="s">
        <v>174</v>
      </c>
      <c r="E51" s="6" t="s">
        <v>177</v>
      </c>
      <c r="F51" s="3">
        <v>84.9</v>
      </c>
      <c r="G51" s="3"/>
      <c r="H51" s="3"/>
      <c r="I51" s="3"/>
      <c r="J51" s="3">
        <v>0</v>
      </c>
      <c r="K51" s="3"/>
      <c r="L51" s="3"/>
      <c r="M51" s="3"/>
      <c r="N51" s="10" t="s">
        <v>20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84.9</v>
      </c>
      <c r="AD51" s="3">
        <v>0</v>
      </c>
      <c r="AE51" s="3">
        <v>0</v>
      </c>
      <c r="AF51" s="3">
        <v>84.9</v>
      </c>
      <c r="AG51" s="3" t="s">
        <v>33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</row>
    <row r="52" spans="2:57" x14ac:dyDescent="0.3">
      <c r="B52" s="3" t="s">
        <v>55</v>
      </c>
      <c r="C52" s="5" t="s">
        <v>169</v>
      </c>
      <c r="D52" s="5" t="s">
        <v>174</v>
      </c>
      <c r="E52" s="6" t="s">
        <v>175</v>
      </c>
      <c r="F52" s="3">
        <v>84.9</v>
      </c>
      <c r="G52" s="3"/>
      <c r="H52" s="3"/>
      <c r="I52" s="3"/>
      <c r="J52" s="3">
        <v>0</v>
      </c>
      <c r="K52" s="3"/>
      <c r="L52" s="3"/>
      <c r="M52" s="3"/>
      <c r="N52" s="10" t="s">
        <v>20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84.9</v>
      </c>
      <c r="AD52" s="3">
        <v>0</v>
      </c>
      <c r="AE52" s="3">
        <v>0</v>
      </c>
      <c r="AF52" s="3">
        <v>84.9</v>
      </c>
      <c r="AG52" s="3" t="s">
        <v>33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</row>
    <row r="53" spans="2:57" x14ac:dyDescent="0.3">
      <c r="B53" s="3" t="s">
        <v>55</v>
      </c>
      <c r="C53" s="5" t="s">
        <v>169</v>
      </c>
      <c r="D53" s="5" t="s">
        <v>174</v>
      </c>
      <c r="E53" s="6" t="s">
        <v>178</v>
      </c>
      <c r="F53" s="3">
        <v>84.9</v>
      </c>
      <c r="G53" s="3"/>
      <c r="H53" s="3"/>
      <c r="I53" s="3"/>
      <c r="J53" s="3">
        <v>0</v>
      </c>
      <c r="K53" s="3"/>
      <c r="L53" s="3"/>
      <c r="M53" s="3"/>
      <c r="N53" s="10" t="s">
        <v>20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84.9</v>
      </c>
      <c r="AD53" s="3">
        <v>0</v>
      </c>
      <c r="AE53" s="3">
        <v>0</v>
      </c>
      <c r="AF53" s="3">
        <v>84.9</v>
      </c>
      <c r="AG53" s="3" t="s">
        <v>33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</row>
    <row r="54" spans="2:57" x14ac:dyDescent="0.3">
      <c r="B54" s="3" t="s">
        <v>55</v>
      </c>
      <c r="C54" s="5" t="s">
        <v>181</v>
      </c>
      <c r="D54" s="5" t="s">
        <v>194</v>
      </c>
      <c r="E54" s="6" t="s">
        <v>195</v>
      </c>
      <c r="F54" s="3">
        <v>84.9</v>
      </c>
      <c r="G54" s="3"/>
      <c r="H54" s="3"/>
      <c r="I54" s="3"/>
      <c r="J54" s="3">
        <v>0</v>
      </c>
      <c r="K54" s="3"/>
      <c r="L54" s="3"/>
      <c r="M54" s="3"/>
      <c r="N54" s="10" t="s">
        <v>20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84.9</v>
      </c>
      <c r="AD54" s="3">
        <v>0</v>
      </c>
      <c r="AE54" s="3">
        <v>0</v>
      </c>
      <c r="AF54" s="3">
        <v>84.9</v>
      </c>
      <c r="AG54" s="3" t="s">
        <v>33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</row>
    <row r="55" spans="2:57" x14ac:dyDescent="0.3">
      <c r="B55" s="3" t="s">
        <v>55</v>
      </c>
      <c r="C55" s="5" t="s">
        <v>181</v>
      </c>
      <c r="D55" s="5" t="s">
        <v>182</v>
      </c>
      <c r="E55" s="6" t="s">
        <v>183</v>
      </c>
      <c r="F55" s="3">
        <v>84.9</v>
      </c>
      <c r="G55" s="3"/>
      <c r="H55" s="3"/>
      <c r="I55" s="3"/>
      <c r="J55" s="3">
        <v>0</v>
      </c>
      <c r="K55" s="3"/>
      <c r="L55" s="3"/>
      <c r="M55" s="3"/>
      <c r="N55" s="10" t="s">
        <v>20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84.9</v>
      </c>
      <c r="AD55" s="3">
        <v>0</v>
      </c>
      <c r="AE55" s="3">
        <v>0</v>
      </c>
      <c r="AF55" s="3">
        <v>84.9</v>
      </c>
      <c r="AG55" s="3" t="s">
        <v>33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</row>
    <row r="56" spans="2:57" x14ac:dyDescent="0.3">
      <c r="B56" s="3" t="s">
        <v>55</v>
      </c>
      <c r="C56" s="5" t="s">
        <v>181</v>
      </c>
      <c r="D56" s="5" t="s">
        <v>182</v>
      </c>
      <c r="E56" s="6" t="s">
        <v>184</v>
      </c>
      <c r="F56" s="3">
        <v>84.9</v>
      </c>
      <c r="G56" s="3"/>
      <c r="H56" s="3"/>
      <c r="I56" s="3"/>
      <c r="J56" s="3">
        <v>0</v>
      </c>
      <c r="K56" s="3"/>
      <c r="L56" s="3"/>
      <c r="M56" s="3"/>
      <c r="N56" s="10" t="s">
        <v>20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84.9</v>
      </c>
      <c r="AD56" s="3">
        <v>0</v>
      </c>
      <c r="AE56" s="3">
        <v>0</v>
      </c>
      <c r="AF56" s="3">
        <v>84.9</v>
      </c>
      <c r="AG56" s="3" t="s">
        <v>33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</row>
    <row r="57" spans="2:57" x14ac:dyDescent="0.3">
      <c r="B57" s="3" t="s">
        <v>55</v>
      </c>
      <c r="C57" s="5" t="s">
        <v>181</v>
      </c>
      <c r="D57" s="5" t="s">
        <v>182</v>
      </c>
      <c r="E57" s="6" t="s">
        <v>188</v>
      </c>
      <c r="F57" s="3">
        <v>84.9</v>
      </c>
      <c r="G57" s="3"/>
      <c r="H57" s="3"/>
      <c r="I57" s="3"/>
      <c r="J57" s="3">
        <v>0</v>
      </c>
      <c r="K57" s="3"/>
      <c r="L57" s="3"/>
      <c r="M57" s="3"/>
      <c r="N57" s="10" t="s">
        <v>20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84.9</v>
      </c>
      <c r="AD57" s="3">
        <v>0</v>
      </c>
      <c r="AE57" s="3">
        <v>0</v>
      </c>
      <c r="AF57" s="3">
        <v>84.9</v>
      </c>
      <c r="AG57" s="3" t="s">
        <v>33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</row>
    <row r="58" spans="2:57" x14ac:dyDescent="0.3">
      <c r="B58" s="3" t="s">
        <v>55</v>
      </c>
      <c r="C58" s="5" t="s">
        <v>181</v>
      </c>
      <c r="D58" s="5" t="s">
        <v>182</v>
      </c>
      <c r="E58" s="6" t="s">
        <v>193</v>
      </c>
      <c r="F58" s="3">
        <v>84.9</v>
      </c>
      <c r="G58" s="3"/>
      <c r="H58" s="3"/>
      <c r="I58" s="3"/>
      <c r="J58" s="3">
        <v>0</v>
      </c>
      <c r="K58" s="3"/>
      <c r="L58" s="3"/>
      <c r="M58" s="3"/>
      <c r="N58" s="10" t="s">
        <v>20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84.9</v>
      </c>
      <c r="AD58" s="3">
        <v>0</v>
      </c>
      <c r="AE58" s="3">
        <v>0</v>
      </c>
      <c r="AF58" s="3">
        <v>84.9</v>
      </c>
      <c r="AG58" s="3" t="s">
        <v>33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</row>
    <row r="59" spans="2:57" x14ac:dyDescent="0.3">
      <c r="B59" s="3" t="s">
        <v>55</v>
      </c>
      <c r="C59" s="5" t="s">
        <v>181</v>
      </c>
      <c r="D59" s="5" t="s">
        <v>185</v>
      </c>
      <c r="E59" s="6" t="s">
        <v>192</v>
      </c>
      <c r="F59" s="3">
        <v>84.9</v>
      </c>
      <c r="G59" s="3"/>
      <c r="H59" s="3"/>
      <c r="I59" s="3"/>
      <c r="J59" s="3">
        <v>0</v>
      </c>
      <c r="K59" s="3"/>
      <c r="L59" s="3"/>
      <c r="M59" s="3"/>
      <c r="N59" s="10" t="s">
        <v>20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84.9</v>
      </c>
      <c r="AD59" s="3">
        <v>0</v>
      </c>
      <c r="AE59" s="3">
        <v>0</v>
      </c>
      <c r="AF59" s="3">
        <v>84.9</v>
      </c>
      <c r="AG59" s="3" t="s">
        <v>33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</row>
    <row r="60" spans="2:57" x14ac:dyDescent="0.3">
      <c r="B60" s="3" t="s">
        <v>55</v>
      </c>
      <c r="C60" s="5" t="s">
        <v>181</v>
      </c>
      <c r="D60" s="5" t="s">
        <v>185</v>
      </c>
      <c r="E60" s="6" t="s">
        <v>187</v>
      </c>
      <c r="F60" s="3">
        <v>84.9</v>
      </c>
      <c r="G60" s="3"/>
      <c r="H60" s="3"/>
      <c r="I60" s="3"/>
      <c r="J60" s="3">
        <v>0</v>
      </c>
      <c r="K60" s="3"/>
      <c r="L60" s="3"/>
      <c r="M60" s="3"/>
      <c r="N60" s="10" t="s">
        <v>20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84.9</v>
      </c>
      <c r="AD60" s="3">
        <v>0</v>
      </c>
      <c r="AE60" s="3">
        <v>0</v>
      </c>
      <c r="AF60" s="3">
        <v>84.9</v>
      </c>
      <c r="AG60" s="3" t="s">
        <v>33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</row>
    <row r="61" spans="2:57" x14ac:dyDescent="0.3">
      <c r="B61" s="3" t="s">
        <v>55</v>
      </c>
      <c r="C61" s="5" t="s">
        <v>181</v>
      </c>
      <c r="D61" s="5" t="s">
        <v>185</v>
      </c>
      <c r="E61" s="6" t="s">
        <v>186</v>
      </c>
      <c r="F61" s="3">
        <v>84.9</v>
      </c>
      <c r="G61" s="3"/>
      <c r="H61" s="3"/>
      <c r="I61" s="3"/>
      <c r="J61" s="3">
        <v>0</v>
      </c>
      <c r="K61" s="3"/>
      <c r="L61" s="3"/>
      <c r="M61" s="3"/>
      <c r="N61" s="10" t="s">
        <v>20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84.9</v>
      </c>
      <c r="AD61" s="3">
        <v>0</v>
      </c>
      <c r="AE61" s="3">
        <v>0</v>
      </c>
      <c r="AF61" s="3">
        <v>84.9</v>
      </c>
      <c r="AG61" s="3" t="s">
        <v>33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</row>
    <row r="62" spans="2:57" x14ac:dyDescent="0.3">
      <c r="B62" s="3" t="s">
        <v>55</v>
      </c>
      <c r="C62" s="5" t="s">
        <v>181</v>
      </c>
      <c r="D62" s="5" t="s">
        <v>189</v>
      </c>
      <c r="E62" s="6" t="s">
        <v>191</v>
      </c>
      <c r="F62" s="3">
        <v>84.9</v>
      </c>
      <c r="G62" s="3"/>
      <c r="H62" s="3"/>
      <c r="I62" s="3"/>
      <c r="J62" s="3">
        <v>0</v>
      </c>
      <c r="K62" s="3"/>
      <c r="L62" s="3"/>
      <c r="M62" s="3"/>
      <c r="N62" s="10" t="s">
        <v>20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84.9</v>
      </c>
      <c r="AD62" s="3">
        <v>0</v>
      </c>
      <c r="AE62" s="3">
        <v>0</v>
      </c>
      <c r="AF62" s="3">
        <v>84.9</v>
      </c>
      <c r="AG62" s="3" t="s">
        <v>33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</row>
    <row r="63" spans="2:57" x14ac:dyDescent="0.3">
      <c r="B63" s="3" t="s">
        <v>55</v>
      </c>
      <c r="C63" s="5" t="s">
        <v>181</v>
      </c>
      <c r="D63" s="5" t="s">
        <v>189</v>
      </c>
      <c r="E63" s="6" t="s">
        <v>190</v>
      </c>
      <c r="F63" s="3">
        <v>84.9</v>
      </c>
      <c r="G63" s="3"/>
      <c r="H63" s="3"/>
      <c r="I63" s="3"/>
      <c r="J63" s="3">
        <v>0</v>
      </c>
      <c r="K63" s="3"/>
      <c r="L63" s="3"/>
      <c r="M63" s="3"/>
      <c r="N63" s="10" t="s">
        <v>20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84.9</v>
      </c>
      <c r="AD63" s="3">
        <v>0</v>
      </c>
      <c r="AE63" s="3">
        <v>0</v>
      </c>
      <c r="AF63" s="3">
        <v>84.9</v>
      </c>
      <c r="AG63" s="3" t="s">
        <v>33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</row>
    <row r="64" spans="2:57" x14ac:dyDescent="0.3">
      <c r="B64" s="3" t="s">
        <v>55</v>
      </c>
      <c r="C64" s="5" t="s">
        <v>196</v>
      </c>
      <c r="D64" s="5" t="s">
        <v>199</v>
      </c>
      <c r="E64" s="6" t="s">
        <v>200</v>
      </c>
      <c r="F64" s="3">
        <v>84.9</v>
      </c>
      <c r="G64" s="3"/>
      <c r="H64" s="3"/>
      <c r="I64" s="3"/>
      <c r="J64" s="3">
        <v>0</v>
      </c>
      <c r="K64" s="3"/>
      <c r="L64" s="3"/>
      <c r="M64" s="3"/>
      <c r="N64" s="10" t="s">
        <v>20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84.9</v>
      </c>
      <c r="AD64" s="3">
        <v>0</v>
      </c>
      <c r="AE64" s="3">
        <v>0</v>
      </c>
      <c r="AF64" s="3">
        <v>84.9</v>
      </c>
      <c r="AG64" s="3" t="s">
        <v>33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</row>
    <row r="65" spans="2:57" x14ac:dyDescent="0.3">
      <c r="B65" s="3" t="s">
        <v>55</v>
      </c>
      <c r="C65" s="5" t="s">
        <v>196</v>
      </c>
      <c r="D65" s="5" t="s">
        <v>197</v>
      </c>
      <c r="E65" s="6" t="s">
        <v>198</v>
      </c>
      <c r="F65" s="3">
        <v>84.9</v>
      </c>
      <c r="G65" s="3"/>
      <c r="H65" s="3"/>
      <c r="I65" s="3"/>
      <c r="J65" s="3">
        <v>0</v>
      </c>
      <c r="K65" s="3"/>
      <c r="L65" s="3"/>
      <c r="M65" s="3"/>
      <c r="N65" s="10" t="s">
        <v>20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84.9</v>
      </c>
      <c r="AD65" s="3">
        <v>0</v>
      </c>
      <c r="AE65" s="3">
        <v>0</v>
      </c>
      <c r="AF65" s="3">
        <v>84.9</v>
      </c>
      <c r="AG65" s="3" t="s">
        <v>33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</row>
    <row r="66" spans="2:57" x14ac:dyDescent="0.3">
      <c r="B66" s="3" t="s">
        <v>55</v>
      </c>
      <c r="C66" s="5" t="s">
        <v>201</v>
      </c>
      <c r="D66" s="5" t="s">
        <v>202</v>
      </c>
      <c r="E66" s="6" t="s">
        <v>203</v>
      </c>
      <c r="F66" s="3">
        <v>84.9</v>
      </c>
      <c r="G66" s="3"/>
      <c r="H66" s="3"/>
      <c r="I66" s="3"/>
      <c r="J66" s="3">
        <v>0</v>
      </c>
      <c r="K66" s="3"/>
      <c r="L66" s="3"/>
      <c r="M66" s="3"/>
      <c r="N66" s="10" t="s">
        <v>20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84.9</v>
      </c>
      <c r="AD66" s="3">
        <v>0</v>
      </c>
      <c r="AE66" s="3">
        <v>0</v>
      </c>
      <c r="AF66" s="3">
        <v>84.9</v>
      </c>
      <c r="AG66" s="3" t="s">
        <v>33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</row>
    <row r="67" spans="2:57" x14ac:dyDescent="0.3">
      <c r="B67" s="3" t="s">
        <v>55</v>
      </c>
      <c r="C67" s="5" t="s">
        <v>201</v>
      </c>
      <c r="D67" s="5" t="s">
        <v>202</v>
      </c>
      <c r="E67" s="6" t="s">
        <v>204</v>
      </c>
      <c r="F67" s="3">
        <v>84.9</v>
      </c>
      <c r="G67" s="3"/>
      <c r="H67" s="3"/>
      <c r="I67" s="3"/>
      <c r="J67" s="3">
        <v>0</v>
      </c>
      <c r="K67" s="3"/>
      <c r="L67" s="3"/>
      <c r="M67" s="3"/>
      <c r="N67" s="10" t="s">
        <v>20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84.9</v>
      </c>
      <c r="AD67" s="3">
        <v>0</v>
      </c>
      <c r="AE67" s="3">
        <v>0</v>
      </c>
      <c r="AF67" s="3">
        <v>84.9</v>
      </c>
      <c r="AG67" s="3" t="s">
        <v>33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</row>
    <row r="68" spans="2:57" x14ac:dyDescent="0.3">
      <c r="B68" s="3" t="s">
        <v>55</v>
      </c>
      <c r="C68" s="5" t="s">
        <v>205</v>
      </c>
      <c r="D68" s="5" t="s">
        <v>206</v>
      </c>
      <c r="E68" s="6" t="s">
        <v>207</v>
      </c>
      <c r="F68" s="3">
        <v>84.9</v>
      </c>
      <c r="G68" s="3"/>
      <c r="H68" s="3"/>
      <c r="I68" s="3"/>
      <c r="J68" s="3">
        <v>0</v>
      </c>
      <c r="K68" s="3"/>
      <c r="L68" s="3"/>
      <c r="M68" s="3"/>
      <c r="N68" s="10" t="s">
        <v>20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84.9</v>
      </c>
      <c r="AD68" s="3">
        <v>0</v>
      </c>
      <c r="AE68" s="3">
        <v>0</v>
      </c>
      <c r="AF68" s="3">
        <v>84.9</v>
      </c>
      <c r="AG68" s="3" t="s">
        <v>33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</row>
    <row r="69" spans="2:57" x14ac:dyDescent="0.3">
      <c r="B69" s="3" t="s">
        <v>55</v>
      </c>
      <c r="C69" s="3" t="s">
        <v>205</v>
      </c>
      <c r="D69" s="3" t="s">
        <v>272</v>
      </c>
      <c r="E69" s="7" t="s">
        <v>273</v>
      </c>
      <c r="F69" s="3">
        <v>84.9</v>
      </c>
      <c r="G69" s="3"/>
      <c r="H69" s="3"/>
      <c r="I69" s="3"/>
      <c r="J69" s="3">
        <v>0</v>
      </c>
      <c r="K69" s="3"/>
      <c r="L69" s="3"/>
      <c r="M69" s="3"/>
      <c r="N69" s="10" t="s">
        <v>20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84.9</v>
      </c>
      <c r="AD69" s="3">
        <v>0</v>
      </c>
      <c r="AE69" s="3">
        <v>0</v>
      </c>
      <c r="AF69" s="3">
        <v>84.9</v>
      </c>
      <c r="AG69" s="3" t="s">
        <v>33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</row>
    <row r="70" spans="2:57" x14ac:dyDescent="0.3">
      <c r="B70" s="3" t="s">
        <v>55</v>
      </c>
      <c r="C70" s="3" t="s">
        <v>205</v>
      </c>
      <c r="D70" s="3" t="s">
        <v>269</v>
      </c>
      <c r="E70" s="7" t="s">
        <v>270</v>
      </c>
      <c r="F70" s="3">
        <v>84.9</v>
      </c>
      <c r="G70" s="3"/>
      <c r="H70" s="3"/>
      <c r="I70" s="3"/>
      <c r="J70" s="3">
        <v>0</v>
      </c>
      <c r="K70" s="3"/>
      <c r="L70" s="3"/>
      <c r="M70" s="3"/>
      <c r="N70" s="10" t="s">
        <v>20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84.9</v>
      </c>
      <c r="AD70" s="3">
        <v>0</v>
      </c>
      <c r="AE70" s="3">
        <v>0</v>
      </c>
      <c r="AF70" s="3">
        <v>84.9</v>
      </c>
      <c r="AG70" s="3" t="s">
        <v>33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</row>
    <row r="71" spans="2:57" x14ac:dyDescent="0.3">
      <c r="B71" s="3" t="s">
        <v>55</v>
      </c>
      <c r="C71" s="3" t="s">
        <v>205</v>
      </c>
      <c r="D71" s="3" t="s">
        <v>283</v>
      </c>
      <c r="E71" s="7" t="s">
        <v>284</v>
      </c>
      <c r="F71" s="3">
        <v>84.9</v>
      </c>
      <c r="G71" s="3"/>
      <c r="H71" s="3"/>
      <c r="I71" s="3"/>
      <c r="J71" s="3">
        <v>0</v>
      </c>
      <c r="K71" s="3"/>
      <c r="L71" s="3"/>
      <c r="M71" s="3"/>
      <c r="N71" s="10" t="s">
        <v>20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84.9</v>
      </c>
      <c r="AD71" s="3">
        <v>0</v>
      </c>
      <c r="AE71" s="3">
        <v>0</v>
      </c>
      <c r="AF71" s="3">
        <v>84.9</v>
      </c>
      <c r="AG71" s="3" t="s">
        <v>33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</row>
    <row r="72" spans="2:57" x14ac:dyDescent="0.3">
      <c r="B72" s="3" t="s">
        <v>55</v>
      </c>
      <c r="C72" s="3" t="s">
        <v>205</v>
      </c>
      <c r="D72" s="3" t="s">
        <v>295</v>
      </c>
      <c r="E72" s="7" t="s">
        <v>296</v>
      </c>
      <c r="F72" s="3">
        <v>84.9</v>
      </c>
      <c r="G72" s="3"/>
      <c r="H72" s="3"/>
      <c r="I72" s="3"/>
      <c r="J72" s="3">
        <v>0</v>
      </c>
      <c r="K72" s="3"/>
      <c r="L72" s="3"/>
      <c r="M72" s="3"/>
      <c r="N72" s="10" t="s">
        <v>20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84.9</v>
      </c>
      <c r="AD72" s="3">
        <v>0</v>
      </c>
      <c r="AE72" s="3">
        <v>0</v>
      </c>
      <c r="AF72" s="3">
        <v>84.9</v>
      </c>
      <c r="AG72" s="3" t="s">
        <v>33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</row>
    <row r="73" spans="2:57" x14ac:dyDescent="0.3">
      <c r="B73" s="3" t="s">
        <v>55</v>
      </c>
      <c r="C73" s="5" t="s">
        <v>205</v>
      </c>
      <c r="D73" s="5" t="s">
        <v>208</v>
      </c>
      <c r="E73" s="6" t="s">
        <v>209</v>
      </c>
      <c r="F73" s="3">
        <v>84.9</v>
      </c>
      <c r="G73" s="3"/>
      <c r="H73" s="3"/>
      <c r="I73" s="3"/>
      <c r="J73" s="3">
        <v>0</v>
      </c>
      <c r="K73" s="3"/>
      <c r="L73" s="3"/>
      <c r="M73" s="3"/>
      <c r="N73" s="10" t="s">
        <v>20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84.9</v>
      </c>
      <c r="AD73" s="3">
        <v>0</v>
      </c>
      <c r="AE73" s="3">
        <v>0</v>
      </c>
      <c r="AF73" s="3">
        <v>84.9</v>
      </c>
      <c r="AG73" s="3" t="s">
        <v>33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</row>
    <row r="74" spans="2:57" x14ac:dyDescent="0.3">
      <c r="B74" s="3" t="s">
        <v>55</v>
      </c>
      <c r="C74" s="5" t="s">
        <v>205</v>
      </c>
      <c r="D74" s="5" t="s">
        <v>210</v>
      </c>
      <c r="E74" s="6" t="s">
        <v>211</v>
      </c>
      <c r="F74" s="3">
        <v>84.9</v>
      </c>
      <c r="G74" s="3"/>
      <c r="H74" s="3"/>
      <c r="I74" s="3"/>
      <c r="J74" s="3">
        <v>0</v>
      </c>
      <c r="K74" s="3"/>
      <c r="L74" s="3"/>
      <c r="M74" s="3"/>
      <c r="N74" s="10" t="s">
        <v>20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84.9</v>
      </c>
      <c r="AD74" s="3">
        <v>0</v>
      </c>
      <c r="AE74" s="3">
        <v>0</v>
      </c>
      <c r="AF74" s="3">
        <v>84.9</v>
      </c>
      <c r="AG74" s="3" t="s">
        <v>33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</row>
    <row r="75" spans="2:57" x14ac:dyDescent="0.3">
      <c r="B75" s="3" t="s">
        <v>55</v>
      </c>
      <c r="C75" s="3" t="s">
        <v>205</v>
      </c>
      <c r="D75" s="3" t="s">
        <v>293</v>
      </c>
      <c r="E75" s="7" t="s">
        <v>294</v>
      </c>
      <c r="F75" s="3">
        <v>84.9</v>
      </c>
      <c r="G75" s="3"/>
      <c r="H75" s="3"/>
      <c r="I75" s="3"/>
      <c r="J75" s="3">
        <v>0</v>
      </c>
      <c r="K75" s="3"/>
      <c r="L75" s="3"/>
      <c r="M75" s="3"/>
      <c r="N75" s="10" t="s">
        <v>20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84.9</v>
      </c>
      <c r="AD75" s="3">
        <v>0</v>
      </c>
      <c r="AE75" s="3">
        <v>0</v>
      </c>
      <c r="AF75" s="3">
        <v>84.9</v>
      </c>
      <c r="AG75" s="3" t="s">
        <v>33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</row>
    <row r="76" spans="2:57" x14ac:dyDescent="0.3">
      <c r="B76" s="3" t="s">
        <v>55</v>
      </c>
      <c r="C76" s="5" t="s">
        <v>205</v>
      </c>
      <c r="D76" s="5" t="s">
        <v>212</v>
      </c>
      <c r="E76" s="6" t="s">
        <v>214</v>
      </c>
      <c r="F76" s="3">
        <v>84.9</v>
      </c>
      <c r="G76" s="3"/>
      <c r="H76" s="3"/>
      <c r="I76" s="3"/>
      <c r="J76" s="3">
        <v>0</v>
      </c>
      <c r="K76" s="3"/>
      <c r="L76" s="3"/>
      <c r="M76" s="3"/>
      <c r="N76" s="10" t="s">
        <v>20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84.9</v>
      </c>
      <c r="AD76" s="3">
        <v>0</v>
      </c>
      <c r="AE76" s="3">
        <v>0</v>
      </c>
      <c r="AF76" s="3">
        <v>84.9</v>
      </c>
      <c r="AG76" s="3" t="s">
        <v>33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</row>
    <row r="77" spans="2:57" x14ac:dyDescent="0.3">
      <c r="B77" s="3" t="s">
        <v>55</v>
      </c>
      <c r="C77" s="5" t="s">
        <v>205</v>
      </c>
      <c r="D77" s="5" t="s">
        <v>212</v>
      </c>
      <c r="E77" s="6" t="s">
        <v>213</v>
      </c>
      <c r="F77" s="3">
        <v>84.9</v>
      </c>
      <c r="G77" s="3"/>
      <c r="H77" s="3"/>
      <c r="I77" s="3"/>
      <c r="J77" s="3">
        <v>0</v>
      </c>
      <c r="K77" s="3"/>
      <c r="L77" s="3"/>
      <c r="M77" s="3"/>
      <c r="N77" s="10" t="s">
        <v>20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84.9</v>
      </c>
      <c r="AD77" s="3">
        <v>0</v>
      </c>
      <c r="AE77" s="3">
        <v>0</v>
      </c>
      <c r="AF77" s="3">
        <v>84.9</v>
      </c>
      <c r="AG77" s="3" t="s">
        <v>33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</row>
    <row r="78" spans="2:57" x14ac:dyDescent="0.3">
      <c r="B78" s="3" t="s">
        <v>55</v>
      </c>
      <c r="C78" s="3" t="s">
        <v>205</v>
      </c>
      <c r="D78" s="3" t="s">
        <v>215</v>
      </c>
      <c r="E78" s="7" t="s">
        <v>271</v>
      </c>
      <c r="F78" s="3">
        <v>84.9</v>
      </c>
      <c r="G78" s="3"/>
      <c r="H78" s="3"/>
      <c r="I78" s="3"/>
      <c r="J78" s="3">
        <v>0</v>
      </c>
      <c r="K78" s="3"/>
      <c r="L78" s="3"/>
      <c r="M78" s="3"/>
      <c r="N78" s="10" t="s">
        <v>20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84.9</v>
      </c>
      <c r="AD78" s="3">
        <v>0</v>
      </c>
      <c r="AE78" s="3">
        <v>0</v>
      </c>
      <c r="AF78" s="3">
        <v>84.9</v>
      </c>
      <c r="AG78" s="3" t="s">
        <v>33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</row>
    <row r="79" spans="2:57" x14ac:dyDescent="0.3">
      <c r="B79" s="3" t="s">
        <v>55</v>
      </c>
      <c r="C79" s="5" t="s">
        <v>205</v>
      </c>
      <c r="D79" s="5" t="s">
        <v>215</v>
      </c>
      <c r="E79" s="6" t="s">
        <v>216</v>
      </c>
      <c r="F79" s="3">
        <v>84.9</v>
      </c>
      <c r="G79" s="3"/>
      <c r="H79" s="3"/>
      <c r="I79" s="3"/>
      <c r="J79" s="3">
        <v>0</v>
      </c>
      <c r="K79" s="3"/>
      <c r="L79" s="3"/>
      <c r="M79" s="3"/>
      <c r="N79" s="10" t="s">
        <v>20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84.9</v>
      </c>
      <c r="AD79" s="3">
        <v>0</v>
      </c>
      <c r="AE79" s="3">
        <v>0</v>
      </c>
      <c r="AF79" s="3">
        <v>84.9</v>
      </c>
      <c r="AG79" s="3" t="s">
        <v>33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</row>
    <row r="80" spans="2:57" x14ac:dyDescent="0.3">
      <c r="B80" s="3" t="s">
        <v>55</v>
      </c>
      <c r="C80" s="3" t="s">
        <v>205</v>
      </c>
      <c r="D80" s="3" t="s">
        <v>215</v>
      </c>
      <c r="E80" s="7" t="s">
        <v>310</v>
      </c>
      <c r="F80" s="3">
        <v>84.9</v>
      </c>
      <c r="G80" s="3"/>
      <c r="H80" s="3"/>
      <c r="I80" s="3"/>
      <c r="J80" s="3">
        <v>0</v>
      </c>
      <c r="K80" s="3"/>
      <c r="L80" s="3"/>
      <c r="M80" s="3"/>
      <c r="N80" s="10" t="s">
        <v>20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84.9</v>
      </c>
      <c r="AD80" s="3">
        <v>0</v>
      </c>
      <c r="AE80" s="3">
        <v>0</v>
      </c>
      <c r="AF80" s="3">
        <v>84.9</v>
      </c>
      <c r="AG80" s="3" t="s">
        <v>33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</row>
    <row r="81" spans="2:57" x14ac:dyDescent="0.3">
      <c r="B81" s="3" t="s">
        <v>55</v>
      </c>
      <c r="C81" s="5" t="s">
        <v>205</v>
      </c>
      <c r="D81" s="5" t="s">
        <v>215</v>
      </c>
      <c r="E81" s="6" t="s">
        <v>217</v>
      </c>
      <c r="F81" s="3">
        <v>84.9</v>
      </c>
      <c r="G81" s="3"/>
      <c r="H81" s="3"/>
      <c r="I81" s="3"/>
      <c r="J81" s="3">
        <v>0</v>
      </c>
      <c r="K81" s="3"/>
      <c r="L81" s="3"/>
      <c r="M81" s="3"/>
      <c r="N81" s="10" t="s">
        <v>20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84.9</v>
      </c>
      <c r="AD81" s="3">
        <v>0</v>
      </c>
      <c r="AE81" s="3">
        <v>0</v>
      </c>
      <c r="AF81" s="3">
        <v>84.9</v>
      </c>
      <c r="AG81" s="3" t="s">
        <v>33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</row>
    <row r="82" spans="2:57" x14ac:dyDescent="0.3">
      <c r="B82" s="3" t="s">
        <v>55</v>
      </c>
      <c r="C82" s="3" t="s">
        <v>205</v>
      </c>
      <c r="D82" s="3" t="s">
        <v>223</v>
      </c>
      <c r="E82" s="7" t="s">
        <v>278</v>
      </c>
      <c r="F82" s="3">
        <v>84.9</v>
      </c>
      <c r="G82" s="3"/>
      <c r="H82" s="3"/>
      <c r="I82" s="3"/>
      <c r="J82" s="3">
        <v>0</v>
      </c>
      <c r="K82" s="3"/>
      <c r="L82" s="3"/>
      <c r="M82" s="3"/>
      <c r="N82" s="10" t="s">
        <v>20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84.9</v>
      </c>
      <c r="AD82" s="3">
        <v>0</v>
      </c>
      <c r="AE82" s="3">
        <v>0</v>
      </c>
      <c r="AF82" s="3">
        <v>84.9</v>
      </c>
      <c r="AG82" s="3" t="s">
        <v>33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</row>
    <row r="83" spans="2:57" x14ac:dyDescent="0.3">
      <c r="B83" s="3" t="s">
        <v>55</v>
      </c>
      <c r="C83" s="3" t="s">
        <v>205</v>
      </c>
      <c r="D83" s="3" t="s">
        <v>223</v>
      </c>
      <c r="E83" s="7" t="s">
        <v>224</v>
      </c>
      <c r="F83" s="3">
        <v>84.9</v>
      </c>
      <c r="G83" s="3"/>
      <c r="H83" s="3"/>
      <c r="I83" s="3"/>
      <c r="J83" s="3">
        <v>0</v>
      </c>
      <c r="K83" s="3"/>
      <c r="L83" s="3"/>
      <c r="M83" s="3"/>
      <c r="N83" s="10" t="s">
        <v>20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84.9</v>
      </c>
      <c r="AD83" s="3">
        <v>0</v>
      </c>
      <c r="AE83" s="3">
        <v>0</v>
      </c>
      <c r="AF83" s="3">
        <v>84.9</v>
      </c>
      <c r="AG83" s="3" t="s">
        <v>33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</row>
    <row r="84" spans="2:57" x14ac:dyDescent="0.3">
      <c r="B84" s="3" t="s">
        <v>55</v>
      </c>
      <c r="C84" s="5" t="s">
        <v>205</v>
      </c>
      <c r="D84" s="5" t="s">
        <v>218</v>
      </c>
      <c r="E84" s="6" t="s">
        <v>219</v>
      </c>
      <c r="F84" s="3">
        <v>84.9</v>
      </c>
      <c r="G84" s="3"/>
      <c r="H84" s="3"/>
      <c r="I84" s="3"/>
      <c r="J84" s="3">
        <v>0</v>
      </c>
      <c r="K84" s="3"/>
      <c r="L84" s="3"/>
      <c r="M84" s="3"/>
      <c r="N84" s="10" t="s">
        <v>20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84.9</v>
      </c>
      <c r="AD84" s="3">
        <v>0</v>
      </c>
      <c r="AE84" s="3">
        <v>0</v>
      </c>
      <c r="AF84" s="3">
        <v>84.9</v>
      </c>
      <c r="AG84" s="3" t="s">
        <v>33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</row>
    <row r="85" spans="2:57" x14ac:dyDescent="0.3">
      <c r="B85" s="3" t="s">
        <v>55</v>
      </c>
      <c r="C85" s="5" t="s">
        <v>205</v>
      </c>
      <c r="D85" s="5" t="s">
        <v>218</v>
      </c>
      <c r="E85" s="6" t="s">
        <v>220</v>
      </c>
      <c r="F85" s="3">
        <v>84.9</v>
      </c>
      <c r="G85" s="3"/>
      <c r="H85" s="3"/>
      <c r="I85" s="3"/>
      <c r="J85" s="3">
        <v>0</v>
      </c>
      <c r="K85" s="3"/>
      <c r="L85" s="3"/>
      <c r="M85" s="3"/>
      <c r="N85" s="10" t="s">
        <v>20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84.9</v>
      </c>
      <c r="AD85" s="3">
        <v>0</v>
      </c>
      <c r="AE85" s="3">
        <v>0</v>
      </c>
      <c r="AF85" s="3">
        <v>84.9</v>
      </c>
      <c r="AG85" s="3" t="s">
        <v>33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</row>
    <row r="86" spans="2:57" x14ac:dyDescent="0.3">
      <c r="B86" s="3" t="s">
        <v>55</v>
      </c>
      <c r="C86" s="3" t="s">
        <v>205</v>
      </c>
      <c r="D86" s="3" t="s">
        <v>221</v>
      </c>
      <c r="E86" s="7" t="s">
        <v>222</v>
      </c>
      <c r="F86" s="3">
        <v>84.9</v>
      </c>
      <c r="G86" s="3"/>
      <c r="H86" s="3"/>
      <c r="I86" s="3"/>
      <c r="J86" s="3">
        <v>0</v>
      </c>
      <c r="K86" s="3"/>
      <c r="L86" s="3"/>
      <c r="M86" s="3"/>
      <c r="N86" s="10" t="s">
        <v>20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84.9</v>
      </c>
      <c r="AD86" s="3">
        <v>0</v>
      </c>
      <c r="AE86" s="3">
        <v>0</v>
      </c>
      <c r="AF86" s="3">
        <v>84.9</v>
      </c>
      <c r="AG86" s="3" t="s">
        <v>33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</row>
    <row r="87" spans="2:57" x14ac:dyDescent="0.3">
      <c r="B87" s="3" t="s">
        <v>55</v>
      </c>
      <c r="C87" s="3" t="s">
        <v>225</v>
      </c>
      <c r="D87" s="3" t="s">
        <v>226</v>
      </c>
      <c r="E87" s="7" t="s">
        <v>227</v>
      </c>
      <c r="F87" s="3">
        <v>84.9</v>
      </c>
      <c r="G87" s="3"/>
      <c r="H87" s="3"/>
      <c r="I87" s="3"/>
      <c r="J87" s="3">
        <v>0</v>
      </c>
      <c r="K87" s="3"/>
      <c r="L87" s="3"/>
      <c r="M87" s="3"/>
      <c r="N87" s="10" t="s">
        <v>20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84.9</v>
      </c>
      <c r="AD87" s="3">
        <v>0</v>
      </c>
      <c r="AE87" s="3">
        <v>0</v>
      </c>
      <c r="AF87" s="3">
        <v>84.9</v>
      </c>
      <c r="AG87" s="3" t="s">
        <v>33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</row>
    <row r="88" spans="2:57" x14ac:dyDescent="0.3">
      <c r="B88" s="3" t="s">
        <v>55</v>
      </c>
      <c r="C88" s="3" t="s">
        <v>228</v>
      </c>
      <c r="D88" s="3" t="s">
        <v>229</v>
      </c>
      <c r="E88" s="7" t="s">
        <v>230</v>
      </c>
      <c r="F88" s="3">
        <v>84.9</v>
      </c>
      <c r="G88" s="3"/>
      <c r="H88" s="3"/>
      <c r="I88" s="3"/>
      <c r="J88" s="3">
        <v>0</v>
      </c>
      <c r="K88" s="3"/>
      <c r="L88" s="3"/>
      <c r="M88" s="3"/>
      <c r="N88" s="10" t="s">
        <v>20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84.9</v>
      </c>
      <c r="AD88" s="3">
        <v>0</v>
      </c>
      <c r="AE88" s="3">
        <v>0</v>
      </c>
      <c r="AF88" s="3">
        <v>84.9</v>
      </c>
      <c r="AG88" s="3" t="s">
        <v>33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</row>
    <row r="89" spans="2:57" x14ac:dyDescent="0.3">
      <c r="B89" s="3" t="s">
        <v>55</v>
      </c>
      <c r="C89" s="3" t="s">
        <v>228</v>
      </c>
      <c r="D89" s="3" t="s">
        <v>233</v>
      </c>
      <c r="E89" s="7" t="s">
        <v>234</v>
      </c>
      <c r="F89" s="3">
        <v>84.9</v>
      </c>
      <c r="G89" s="3"/>
      <c r="H89" s="3"/>
      <c r="I89" s="3"/>
      <c r="J89" s="3">
        <v>0</v>
      </c>
      <c r="K89" s="3"/>
      <c r="L89" s="3"/>
      <c r="M89" s="3"/>
      <c r="N89" s="10" t="s">
        <v>20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84.9</v>
      </c>
      <c r="AD89" s="3">
        <v>0</v>
      </c>
      <c r="AE89" s="3">
        <v>0</v>
      </c>
      <c r="AF89" s="3">
        <v>84.9</v>
      </c>
      <c r="AG89" s="3" t="s">
        <v>33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</row>
    <row r="90" spans="2:57" x14ac:dyDescent="0.3">
      <c r="B90" s="3" t="s">
        <v>55</v>
      </c>
      <c r="C90" s="3" t="s">
        <v>228</v>
      </c>
      <c r="D90" s="3" t="s">
        <v>231</v>
      </c>
      <c r="E90" s="7" t="s">
        <v>232</v>
      </c>
      <c r="F90" s="3">
        <v>84.9</v>
      </c>
      <c r="G90" s="3"/>
      <c r="H90" s="3"/>
      <c r="I90" s="3"/>
      <c r="J90" s="3">
        <v>0</v>
      </c>
      <c r="K90" s="3"/>
      <c r="L90" s="3"/>
      <c r="M90" s="3"/>
      <c r="N90" s="10" t="s">
        <v>20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84.9</v>
      </c>
      <c r="AD90" s="3">
        <v>0</v>
      </c>
      <c r="AE90" s="3">
        <v>0</v>
      </c>
      <c r="AF90" s="3">
        <v>84.9</v>
      </c>
      <c r="AG90" s="3" t="s">
        <v>33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</row>
    <row r="91" spans="2:57" x14ac:dyDescent="0.3">
      <c r="B91" s="3" t="s">
        <v>55</v>
      </c>
      <c r="C91" s="3" t="s">
        <v>235</v>
      </c>
      <c r="D91" s="3" t="s">
        <v>236</v>
      </c>
      <c r="E91" s="7" t="s">
        <v>237</v>
      </c>
      <c r="F91" s="3">
        <v>84.9</v>
      </c>
      <c r="G91" s="3"/>
      <c r="H91" s="3"/>
      <c r="I91" s="3"/>
      <c r="J91" s="3">
        <v>59.75</v>
      </c>
      <c r="K91" s="3"/>
      <c r="L91" s="3"/>
      <c r="M91" s="3"/>
      <c r="N91" s="10" t="s">
        <v>20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84.9</v>
      </c>
      <c r="AD91" s="3">
        <v>0</v>
      </c>
      <c r="AE91" s="3">
        <v>0</v>
      </c>
      <c r="AF91" s="3">
        <v>84.9</v>
      </c>
      <c r="AG91" s="3" t="s">
        <v>34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59.75</v>
      </c>
      <c r="BA91" s="3">
        <v>0</v>
      </c>
      <c r="BB91" s="3">
        <v>0</v>
      </c>
      <c r="BC91" s="3">
        <v>0</v>
      </c>
      <c r="BD91" s="3">
        <v>0</v>
      </c>
      <c r="BE91" s="3">
        <v>59.75</v>
      </c>
    </row>
    <row r="92" spans="2:57" x14ac:dyDescent="0.3">
      <c r="B92" s="3" t="s">
        <v>55</v>
      </c>
      <c r="C92" s="3" t="s">
        <v>238</v>
      </c>
      <c r="D92" s="3" t="s">
        <v>241</v>
      </c>
      <c r="E92" s="7" t="s">
        <v>242</v>
      </c>
      <c r="F92" s="3">
        <v>84.9</v>
      </c>
      <c r="G92" s="3"/>
      <c r="H92" s="3"/>
      <c r="I92" s="3"/>
      <c r="J92" s="3">
        <v>0</v>
      </c>
      <c r="K92" s="3"/>
      <c r="L92" s="3"/>
      <c r="M92" s="3"/>
      <c r="N92" s="10" t="s">
        <v>20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84.9</v>
      </c>
      <c r="AD92" s="3">
        <v>0</v>
      </c>
      <c r="AE92" s="3">
        <v>0</v>
      </c>
      <c r="AF92" s="3">
        <v>84.9</v>
      </c>
      <c r="AG92" s="3" t="s">
        <v>33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</row>
    <row r="93" spans="2:57" x14ac:dyDescent="0.3">
      <c r="B93" s="3" t="s">
        <v>55</v>
      </c>
      <c r="C93" s="3" t="s">
        <v>238</v>
      </c>
      <c r="D93" s="3" t="s">
        <v>241</v>
      </c>
      <c r="E93" s="7" t="s">
        <v>285</v>
      </c>
      <c r="F93" s="3">
        <v>84.9</v>
      </c>
      <c r="G93" s="3"/>
      <c r="H93" s="3"/>
      <c r="I93" s="3"/>
      <c r="J93" s="3">
        <v>59.75</v>
      </c>
      <c r="K93" s="3"/>
      <c r="L93" s="3"/>
      <c r="M93" s="3"/>
      <c r="N93" s="10" t="s">
        <v>20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84.9</v>
      </c>
      <c r="AD93" s="3">
        <v>0</v>
      </c>
      <c r="AE93" s="3">
        <v>0</v>
      </c>
      <c r="AF93" s="3">
        <v>84.9</v>
      </c>
      <c r="AG93" s="3" t="s">
        <v>34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59.75</v>
      </c>
      <c r="BA93" s="3">
        <v>0</v>
      </c>
      <c r="BB93" s="3">
        <v>0</v>
      </c>
      <c r="BC93" s="3">
        <v>0</v>
      </c>
      <c r="BD93" s="3">
        <v>0</v>
      </c>
      <c r="BE93" s="3">
        <v>59.75</v>
      </c>
    </row>
    <row r="94" spans="2:57" x14ac:dyDescent="0.3">
      <c r="B94" s="3" t="s">
        <v>55</v>
      </c>
      <c r="C94" s="3" t="s">
        <v>238</v>
      </c>
      <c r="D94" s="3" t="s">
        <v>241</v>
      </c>
      <c r="E94" s="7" t="s">
        <v>243</v>
      </c>
      <c r="F94" s="3">
        <v>84.9</v>
      </c>
      <c r="G94" s="3"/>
      <c r="H94" s="3"/>
      <c r="I94" s="3"/>
      <c r="J94" s="3">
        <v>0</v>
      </c>
      <c r="K94" s="3"/>
      <c r="L94" s="3"/>
      <c r="M94" s="3"/>
      <c r="N94" s="10" t="s">
        <v>20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84.9</v>
      </c>
      <c r="AD94" s="3">
        <v>0</v>
      </c>
      <c r="AE94" s="3">
        <v>0</v>
      </c>
      <c r="AF94" s="3">
        <v>84.9</v>
      </c>
      <c r="AG94" s="3" t="s">
        <v>33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</row>
    <row r="95" spans="2:57" x14ac:dyDescent="0.3">
      <c r="B95" s="3" t="s">
        <v>55</v>
      </c>
      <c r="C95" s="3" t="s">
        <v>238</v>
      </c>
      <c r="D95" s="3" t="s">
        <v>241</v>
      </c>
      <c r="E95" s="7" t="s">
        <v>281</v>
      </c>
      <c r="F95" s="3">
        <v>84.9</v>
      </c>
      <c r="G95" s="3"/>
      <c r="H95" s="3"/>
      <c r="I95" s="3"/>
      <c r="J95" s="3">
        <v>59.75</v>
      </c>
      <c r="K95" s="3"/>
      <c r="L95" s="3"/>
      <c r="M95" s="3"/>
      <c r="N95" s="10" t="s">
        <v>20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84.9</v>
      </c>
      <c r="AD95" s="3">
        <v>0</v>
      </c>
      <c r="AE95" s="3">
        <v>0</v>
      </c>
      <c r="AF95" s="3">
        <v>84.9</v>
      </c>
      <c r="AG95" s="3" t="s">
        <v>34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59.75</v>
      </c>
      <c r="BA95" s="3">
        <v>0</v>
      </c>
      <c r="BB95" s="3">
        <v>0</v>
      </c>
      <c r="BC95" s="3">
        <v>0</v>
      </c>
      <c r="BD95" s="3">
        <v>0</v>
      </c>
      <c r="BE95" s="3">
        <v>59.75</v>
      </c>
    </row>
    <row r="96" spans="2:57" x14ac:dyDescent="0.3">
      <c r="B96" s="3" t="s">
        <v>55</v>
      </c>
      <c r="C96" s="3" t="s">
        <v>238</v>
      </c>
      <c r="D96" s="3" t="s">
        <v>241</v>
      </c>
      <c r="E96" s="7" t="s">
        <v>244</v>
      </c>
      <c r="F96" s="3">
        <v>84.9</v>
      </c>
      <c r="G96" s="3"/>
      <c r="H96" s="3"/>
      <c r="I96" s="3"/>
      <c r="J96" s="3">
        <v>0</v>
      </c>
      <c r="K96" s="3"/>
      <c r="L96" s="3"/>
      <c r="M96" s="3"/>
      <c r="N96" s="10" t="s">
        <v>20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84.9</v>
      </c>
      <c r="AD96" s="3">
        <v>0</v>
      </c>
      <c r="AE96" s="3">
        <v>0</v>
      </c>
      <c r="AF96" s="3">
        <v>84.9</v>
      </c>
      <c r="AG96" s="3" t="s">
        <v>33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</row>
    <row r="97" spans="2:57" x14ac:dyDescent="0.3">
      <c r="B97" s="3" t="s">
        <v>55</v>
      </c>
      <c r="C97" s="3" t="s">
        <v>238</v>
      </c>
      <c r="D97" s="3" t="s">
        <v>239</v>
      </c>
      <c r="E97" s="7" t="s">
        <v>240</v>
      </c>
      <c r="F97" s="3">
        <v>84.9</v>
      </c>
      <c r="G97" s="3"/>
      <c r="H97" s="3"/>
      <c r="I97" s="3"/>
      <c r="J97" s="3">
        <v>0</v>
      </c>
      <c r="K97" s="3"/>
      <c r="L97" s="3"/>
      <c r="M97" s="3"/>
      <c r="N97" s="10" t="s">
        <v>20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84.9</v>
      </c>
      <c r="AD97" s="3">
        <v>0</v>
      </c>
      <c r="AE97" s="3">
        <v>0</v>
      </c>
      <c r="AF97" s="3">
        <v>84.9</v>
      </c>
      <c r="AG97" s="3" t="s">
        <v>33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</row>
    <row r="98" spans="2:57" x14ac:dyDescent="0.3">
      <c r="B98" s="3" t="s">
        <v>55</v>
      </c>
      <c r="C98" s="3" t="s">
        <v>238</v>
      </c>
      <c r="D98" s="3" t="s">
        <v>239</v>
      </c>
      <c r="E98" s="7" t="s">
        <v>280</v>
      </c>
      <c r="F98" s="3">
        <v>84.9</v>
      </c>
      <c r="G98" s="3"/>
      <c r="H98" s="3"/>
      <c r="I98" s="3"/>
      <c r="J98" s="3">
        <v>0</v>
      </c>
      <c r="K98" s="3"/>
      <c r="L98" s="3"/>
      <c r="M98" s="3"/>
      <c r="N98" s="10" t="s">
        <v>20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84.9</v>
      </c>
      <c r="AD98" s="3">
        <v>0</v>
      </c>
      <c r="AE98" s="3">
        <v>0</v>
      </c>
      <c r="AF98" s="3">
        <v>84.9</v>
      </c>
      <c r="AG98" s="3" t="s">
        <v>33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</row>
    <row r="99" spans="2:57" x14ac:dyDescent="0.3">
      <c r="B99" s="3" t="s">
        <v>55</v>
      </c>
      <c r="C99" s="3" t="s">
        <v>238</v>
      </c>
      <c r="D99" s="3" t="s">
        <v>239</v>
      </c>
      <c r="E99" s="7" t="s">
        <v>279</v>
      </c>
      <c r="F99" s="3">
        <v>84.9</v>
      </c>
      <c r="G99" s="3"/>
      <c r="H99" s="3"/>
      <c r="I99" s="3"/>
      <c r="J99" s="3">
        <v>0</v>
      </c>
      <c r="K99" s="3"/>
      <c r="L99" s="3"/>
      <c r="M99" s="3"/>
      <c r="N99" s="10" t="s">
        <v>20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84.9</v>
      </c>
      <c r="AD99" s="3">
        <v>0</v>
      </c>
      <c r="AE99" s="3">
        <v>0</v>
      </c>
      <c r="AF99" s="3">
        <v>84.9</v>
      </c>
      <c r="AG99" s="3" t="s">
        <v>33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</row>
    <row r="100" spans="2:57" x14ac:dyDescent="0.3">
      <c r="B100" s="3" t="s">
        <v>55</v>
      </c>
      <c r="C100" s="3" t="s">
        <v>238</v>
      </c>
      <c r="D100" s="3" t="s">
        <v>245</v>
      </c>
      <c r="E100" s="7" t="s">
        <v>246</v>
      </c>
      <c r="F100" s="3">
        <v>84.9</v>
      </c>
      <c r="G100" s="3"/>
      <c r="H100" s="3"/>
      <c r="I100" s="3"/>
      <c r="J100" s="3">
        <v>0</v>
      </c>
      <c r="K100" s="3"/>
      <c r="L100" s="3"/>
      <c r="M100" s="3"/>
      <c r="N100" s="10" t="s">
        <v>20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84.9</v>
      </c>
      <c r="AD100" s="3">
        <v>0</v>
      </c>
      <c r="AE100" s="3">
        <v>0</v>
      </c>
      <c r="AF100" s="3">
        <v>84.9</v>
      </c>
      <c r="AG100" s="3" t="s">
        <v>33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</row>
    <row r="101" spans="2:57" x14ac:dyDescent="0.3">
      <c r="B101" s="3" t="s">
        <v>55</v>
      </c>
      <c r="C101" s="3" t="s">
        <v>247</v>
      </c>
      <c r="D101" s="3" t="s">
        <v>248</v>
      </c>
      <c r="E101" s="7" t="s">
        <v>249</v>
      </c>
      <c r="F101" s="3">
        <v>84.9</v>
      </c>
      <c r="G101" s="3"/>
      <c r="H101" s="3"/>
      <c r="I101" s="3"/>
      <c r="J101" s="3">
        <v>59.75</v>
      </c>
      <c r="K101" s="3"/>
      <c r="L101" s="3"/>
      <c r="M101" s="3"/>
      <c r="N101" s="10" t="s">
        <v>20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84.9</v>
      </c>
      <c r="AD101" s="3">
        <v>0</v>
      </c>
      <c r="AE101" s="3">
        <v>0</v>
      </c>
      <c r="AF101" s="3">
        <v>84.9</v>
      </c>
      <c r="AG101" s="3" t="s">
        <v>34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59.75</v>
      </c>
      <c r="BA101" s="3">
        <v>0</v>
      </c>
      <c r="BB101" s="3">
        <v>0</v>
      </c>
      <c r="BC101" s="3">
        <v>0</v>
      </c>
      <c r="BD101" s="3">
        <v>0</v>
      </c>
      <c r="BE101" s="3">
        <v>59.75</v>
      </c>
    </row>
    <row r="102" spans="2:57" x14ac:dyDescent="0.3">
      <c r="B102" s="3" t="s">
        <v>55</v>
      </c>
      <c r="C102" s="3" t="s">
        <v>250</v>
      </c>
      <c r="D102" s="3" t="s">
        <v>251</v>
      </c>
      <c r="E102" s="7" t="s">
        <v>252</v>
      </c>
      <c r="F102" s="3">
        <v>84.9</v>
      </c>
      <c r="G102" s="3"/>
      <c r="H102" s="3"/>
      <c r="I102" s="3"/>
      <c r="J102" s="3">
        <v>0</v>
      </c>
      <c r="K102" s="3"/>
      <c r="L102" s="3"/>
      <c r="M102" s="3"/>
      <c r="N102" s="10" t="s">
        <v>20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84.9</v>
      </c>
      <c r="AD102" s="3">
        <v>0</v>
      </c>
      <c r="AE102" s="3">
        <v>0</v>
      </c>
      <c r="AF102" s="3">
        <v>84.9</v>
      </c>
      <c r="AG102" s="3" t="s">
        <v>33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</row>
    <row r="103" spans="2:57" x14ac:dyDescent="0.3">
      <c r="B103" s="3" t="s">
        <v>55</v>
      </c>
      <c r="C103" s="3" t="s">
        <v>250</v>
      </c>
      <c r="D103" s="3" t="s">
        <v>253</v>
      </c>
      <c r="E103" s="7" t="s">
        <v>254</v>
      </c>
      <c r="F103" s="3">
        <v>84.9</v>
      </c>
      <c r="G103" s="3"/>
      <c r="H103" s="3"/>
      <c r="I103" s="3"/>
      <c r="J103" s="3">
        <v>0</v>
      </c>
      <c r="K103" s="3"/>
      <c r="L103" s="3"/>
      <c r="M103" s="3"/>
      <c r="N103" s="10" t="s">
        <v>20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84.9</v>
      </c>
      <c r="AD103" s="3">
        <v>0</v>
      </c>
      <c r="AE103" s="3">
        <v>0</v>
      </c>
      <c r="AF103" s="3">
        <v>84.9</v>
      </c>
      <c r="AG103" s="3" t="s">
        <v>33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</row>
    <row r="104" spans="2:57" x14ac:dyDescent="0.3">
      <c r="B104" s="3" t="s">
        <v>55</v>
      </c>
      <c r="C104" s="3" t="s">
        <v>250</v>
      </c>
      <c r="D104" s="3" t="s">
        <v>255</v>
      </c>
      <c r="E104" s="7" t="s">
        <v>256</v>
      </c>
      <c r="F104" s="3">
        <v>84.9</v>
      </c>
      <c r="G104" s="3"/>
      <c r="H104" s="3"/>
      <c r="I104" s="3"/>
      <c r="J104" s="3">
        <v>0</v>
      </c>
      <c r="K104" s="3"/>
      <c r="L104" s="3"/>
      <c r="M104" s="3"/>
      <c r="N104" s="10" t="s">
        <v>20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84.9</v>
      </c>
      <c r="AD104" s="3">
        <v>0</v>
      </c>
      <c r="AE104" s="3">
        <v>0</v>
      </c>
      <c r="AF104" s="3">
        <v>84.9</v>
      </c>
      <c r="AG104" s="3" t="s">
        <v>33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</row>
    <row r="105" spans="2:57" x14ac:dyDescent="0.3">
      <c r="B105" s="4" t="s">
        <v>59</v>
      </c>
      <c r="C105" s="3" t="s">
        <v>263</v>
      </c>
      <c r="D105" s="3" t="s">
        <v>264</v>
      </c>
      <c r="E105" s="7" t="s">
        <v>265</v>
      </c>
      <c r="F105" s="3">
        <v>10.199999999999999</v>
      </c>
      <c r="G105" s="3">
        <f>AVERAGE(F105:F107)</f>
        <v>67.533333333333331</v>
      </c>
      <c r="H105" s="3">
        <f>COUNTIF(F105:F107,"&gt;120")</f>
        <v>1</v>
      </c>
      <c r="I105" s="3">
        <f>H105/3</f>
        <v>0.33333333333333331</v>
      </c>
      <c r="J105" s="3">
        <v>36.9</v>
      </c>
      <c r="K105" s="3">
        <f>AVERAGE(J105:J107)</f>
        <v>72.816666666666663</v>
      </c>
      <c r="L105" s="3">
        <f>COUNTIF(J105:J107,"&gt;120")</f>
        <v>1</v>
      </c>
      <c r="M105" s="3">
        <f>L105/3</f>
        <v>0.33333333333333331</v>
      </c>
      <c r="N105" s="10" t="s">
        <v>22</v>
      </c>
      <c r="O105" s="3">
        <v>0</v>
      </c>
      <c r="P105" s="3">
        <v>10.199999999999999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10.199999999999999</v>
      </c>
      <c r="AG105" s="3" t="s">
        <v>40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36.9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36.9</v>
      </c>
    </row>
    <row r="106" spans="2:57" x14ac:dyDescent="0.3">
      <c r="B106" s="4" t="s">
        <v>59</v>
      </c>
      <c r="C106" s="3" t="s">
        <v>260</v>
      </c>
      <c r="D106" s="3" t="s">
        <v>261</v>
      </c>
      <c r="E106" s="7" t="s">
        <v>262</v>
      </c>
      <c r="F106" s="3">
        <v>192.4</v>
      </c>
      <c r="G106" s="3"/>
      <c r="H106" s="3"/>
      <c r="I106" s="3"/>
      <c r="J106" s="3">
        <v>59.75</v>
      </c>
      <c r="K106" s="3"/>
      <c r="L106" s="3"/>
      <c r="M106" s="3"/>
      <c r="N106" s="10" t="s">
        <v>21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71.2</v>
      </c>
      <c r="AC106" s="3">
        <v>0</v>
      </c>
      <c r="AD106" s="3">
        <v>0</v>
      </c>
      <c r="AE106" s="3">
        <v>121.2</v>
      </c>
      <c r="AF106" s="3">
        <v>192.4</v>
      </c>
      <c r="AG106" s="3" t="s">
        <v>34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59.75</v>
      </c>
      <c r="BA106" s="3">
        <v>0</v>
      </c>
      <c r="BB106" s="3">
        <v>0</v>
      </c>
      <c r="BC106" s="3">
        <v>0</v>
      </c>
      <c r="BD106" s="3">
        <v>0</v>
      </c>
      <c r="BE106" s="3">
        <v>59.75</v>
      </c>
    </row>
    <row r="107" spans="2:57" x14ac:dyDescent="0.3">
      <c r="B107" s="4" t="s">
        <v>59</v>
      </c>
      <c r="C107" s="3" t="s">
        <v>266</v>
      </c>
      <c r="D107" s="3" t="s">
        <v>267</v>
      </c>
      <c r="E107" s="7" t="s">
        <v>268</v>
      </c>
      <c r="F107" s="3">
        <v>0</v>
      </c>
      <c r="G107" s="3"/>
      <c r="H107" s="3"/>
      <c r="I107" s="3"/>
      <c r="J107" s="3">
        <v>121.8</v>
      </c>
      <c r="K107" s="3"/>
      <c r="L107" s="3"/>
      <c r="M107" s="3"/>
      <c r="N107" s="10" t="s">
        <v>19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 t="s">
        <v>49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36.9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84.9</v>
      </c>
      <c r="BC107" s="3">
        <v>0</v>
      </c>
      <c r="BD107" s="3">
        <v>0</v>
      </c>
      <c r="BE107" s="3">
        <v>121.8</v>
      </c>
    </row>
  </sheetData>
  <sortState ref="B5:BE106">
    <sortCondition ref="B5:B106"/>
    <sortCondition ref="C5:C106"/>
    <sortCondition ref="D5:D106"/>
    <sortCondition ref="E5:E106"/>
  </sortState>
  <mergeCells count="2">
    <mergeCell ref="N2:AF2"/>
    <mergeCell ref="AG2:B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W182"/>
  <sheetViews>
    <sheetView zoomScale="90" zoomScaleNormal="90" workbookViewId="0">
      <selection activeCell="C2" sqref="C2"/>
    </sheetView>
  </sheetViews>
  <sheetFormatPr defaultRowHeight="14.4" x14ac:dyDescent="0.3"/>
  <cols>
    <col min="1" max="1" width="6.21875" customWidth="1"/>
    <col min="2" max="2" width="20.109375" customWidth="1"/>
    <col min="3" max="3" width="20.109375" style="1" customWidth="1"/>
    <col min="4" max="4" width="19.33203125" style="1" customWidth="1"/>
    <col min="5" max="5" width="29.6640625" style="1" customWidth="1"/>
    <col min="6" max="25" width="8.88671875" style="1"/>
  </cols>
  <sheetData>
    <row r="2" spans="2:49" x14ac:dyDescent="0.3">
      <c r="F2" s="12" t="s">
        <v>61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 t="s">
        <v>311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2:49" x14ac:dyDescent="0.3">
      <c r="F3" s="3" t="s">
        <v>60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3" t="s">
        <v>0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1</v>
      </c>
      <c r="AG3" s="3" t="s">
        <v>2</v>
      </c>
      <c r="AH3" s="3" t="s">
        <v>3</v>
      </c>
      <c r="AI3" s="3" t="s">
        <v>4</v>
      </c>
      <c r="AJ3" s="3" t="s">
        <v>5</v>
      </c>
      <c r="AK3" s="3" t="s">
        <v>6</v>
      </c>
      <c r="AL3" s="3" t="s">
        <v>7</v>
      </c>
      <c r="AM3" s="3" t="s">
        <v>8</v>
      </c>
      <c r="AN3" s="3" t="s">
        <v>9</v>
      </c>
      <c r="AO3" s="3" t="s">
        <v>10</v>
      </c>
      <c r="AP3" s="3" t="s">
        <v>11</v>
      </c>
      <c r="AQ3" s="3" t="s">
        <v>12</v>
      </c>
      <c r="AR3" s="3" t="s">
        <v>13</v>
      </c>
      <c r="AS3" s="3" t="s">
        <v>14</v>
      </c>
      <c r="AT3" s="3" t="s">
        <v>15</v>
      </c>
      <c r="AU3" s="3" t="s">
        <v>16</v>
      </c>
      <c r="AV3" s="3" t="s">
        <v>17</v>
      </c>
      <c r="AW3" s="3" t="s">
        <v>18</v>
      </c>
    </row>
    <row r="4" spans="2:49" x14ac:dyDescent="0.3">
      <c r="B4" s="8" t="s">
        <v>312</v>
      </c>
      <c r="C4" s="8" t="s">
        <v>313</v>
      </c>
      <c r="D4" s="8" t="s">
        <v>314</v>
      </c>
      <c r="E4" s="8" t="s">
        <v>315</v>
      </c>
      <c r="F4" s="3" t="s">
        <v>19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 t="s">
        <v>32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</row>
    <row r="5" spans="2:49" x14ac:dyDescent="0.3">
      <c r="B5" s="3" t="s">
        <v>57</v>
      </c>
      <c r="C5" s="5" t="s">
        <v>62</v>
      </c>
      <c r="D5" s="5" t="s">
        <v>63</v>
      </c>
      <c r="E5" s="6" t="s">
        <v>64</v>
      </c>
      <c r="F5" s="3" t="s">
        <v>19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 t="s">
        <v>33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</row>
    <row r="6" spans="2:49" x14ac:dyDescent="0.3">
      <c r="B6" s="3" t="s">
        <v>57</v>
      </c>
      <c r="C6" s="5" t="s">
        <v>65</v>
      </c>
      <c r="D6" s="5" t="s">
        <v>66</v>
      </c>
      <c r="E6" s="6" t="s">
        <v>67</v>
      </c>
      <c r="F6" s="3" t="s">
        <v>19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 t="s">
        <v>35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119.5</v>
      </c>
      <c r="AS6" s="3">
        <v>569.6</v>
      </c>
      <c r="AT6" s="3">
        <v>0</v>
      </c>
      <c r="AU6" s="3">
        <v>0</v>
      </c>
      <c r="AV6" s="3">
        <v>0</v>
      </c>
      <c r="AW6" s="3">
        <v>689.1</v>
      </c>
    </row>
    <row r="7" spans="2:49" x14ac:dyDescent="0.3">
      <c r="B7" s="3" t="s">
        <v>57</v>
      </c>
      <c r="C7" s="5" t="s">
        <v>103</v>
      </c>
      <c r="D7" s="5" t="s">
        <v>68</v>
      </c>
      <c r="E7" s="6" t="s">
        <v>69</v>
      </c>
      <c r="F7" s="3" t="s">
        <v>19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 t="s">
        <v>36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242.4</v>
      </c>
      <c r="AW7" s="3">
        <v>242.4</v>
      </c>
    </row>
    <row r="8" spans="2:49" x14ac:dyDescent="0.3">
      <c r="B8" s="3" t="s">
        <v>57</v>
      </c>
      <c r="C8" s="5" t="s">
        <v>65</v>
      </c>
      <c r="D8" s="5" t="s">
        <v>70</v>
      </c>
      <c r="E8" s="6" t="s">
        <v>71</v>
      </c>
      <c r="F8" s="3" t="s">
        <v>19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37</v>
      </c>
      <c r="Z8" s="3">
        <v>0</v>
      </c>
      <c r="AA8" s="3">
        <v>0</v>
      </c>
      <c r="AB8" s="3">
        <v>0</v>
      </c>
      <c r="AC8" s="3" t="s">
        <v>23</v>
      </c>
      <c r="AD8" s="3" t="s">
        <v>23</v>
      </c>
      <c r="AE8" s="3" t="s">
        <v>23</v>
      </c>
      <c r="AF8" s="3" t="s">
        <v>23</v>
      </c>
      <c r="AG8" s="3" t="s">
        <v>23</v>
      </c>
      <c r="AH8" s="3" t="s">
        <v>23</v>
      </c>
      <c r="AI8" s="3" t="s">
        <v>23</v>
      </c>
      <c r="AJ8" s="3" t="s">
        <v>23</v>
      </c>
      <c r="AK8" s="3" t="s">
        <v>23</v>
      </c>
      <c r="AL8" s="3" t="s">
        <v>23</v>
      </c>
      <c r="AM8" s="3" t="s">
        <v>23</v>
      </c>
      <c r="AN8" s="3" t="s">
        <v>23</v>
      </c>
      <c r="AO8" s="3" t="s">
        <v>23</v>
      </c>
      <c r="AP8" s="3" t="s">
        <v>23</v>
      </c>
      <c r="AQ8" s="3" t="s">
        <v>23</v>
      </c>
      <c r="AR8" s="3" t="s">
        <v>23</v>
      </c>
      <c r="AS8" s="3" t="s">
        <v>23</v>
      </c>
      <c r="AT8" s="3" t="s">
        <v>23</v>
      </c>
      <c r="AU8" s="3" t="s">
        <v>23</v>
      </c>
      <c r="AV8" s="3" t="s">
        <v>23</v>
      </c>
      <c r="AW8" s="3" t="s">
        <v>23</v>
      </c>
    </row>
    <row r="9" spans="2:49" x14ac:dyDescent="0.3">
      <c r="B9" s="3" t="s">
        <v>57</v>
      </c>
      <c r="C9" s="5" t="s">
        <v>65</v>
      </c>
      <c r="D9" s="5" t="s">
        <v>72</v>
      </c>
      <c r="E9" s="6" t="s">
        <v>73</v>
      </c>
      <c r="F9" s="3" t="s">
        <v>19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 t="s">
        <v>38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284.8</v>
      </c>
      <c r="AT9" s="3">
        <v>0</v>
      </c>
      <c r="AU9" s="3">
        <v>0</v>
      </c>
      <c r="AV9" s="3">
        <v>0</v>
      </c>
      <c r="AW9" s="3">
        <v>284.8</v>
      </c>
    </row>
    <row r="10" spans="2:49" x14ac:dyDescent="0.3">
      <c r="B10" s="3" t="s">
        <v>57</v>
      </c>
      <c r="C10" s="5" t="s">
        <v>65</v>
      </c>
      <c r="D10" s="5" t="s">
        <v>72</v>
      </c>
      <c r="E10" s="6" t="s">
        <v>73</v>
      </c>
      <c r="F10" s="3" t="s">
        <v>19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38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284.8</v>
      </c>
      <c r="AT10" s="3">
        <v>0</v>
      </c>
      <c r="AU10" s="3">
        <v>0</v>
      </c>
      <c r="AV10" s="3">
        <v>0</v>
      </c>
      <c r="AW10" s="3">
        <v>284.8</v>
      </c>
    </row>
    <row r="11" spans="2:49" x14ac:dyDescent="0.3">
      <c r="B11" s="3" t="s">
        <v>57</v>
      </c>
      <c r="C11" s="5" t="s">
        <v>65</v>
      </c>
      <c r="D11" s="5" t="s">
        <v>72</v>
      </c>
      <c r="E11" s="6" t="s">
        <v>73</v>
      </c>
      <c r="F11" s="3" t="s">
        <v>19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 t="s">
        <v>38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284.8</v>
      </c>
      <c r="AT11" s="3">
        <v>0</v>
      </c>
      <c r="AU11" s="3">
        <v>0</v>
      </c>
      <c r="AV11" s="3">
        <v>0</v>
      </c>
      <c r="AW11" s="3">
        <v>284.8</v>
      </c>
    </row>
    <row r="12" spans="2:49" x14ac:dyDescent="0.3">
      <c r="B12" s="3" t="s">
        <v>57</v>
      </c>
      <c r="C12" s="5" t="s">
        <v>65</v>
      </c>
      <c r="D12" s="5" t="s">
        <v>72</v>
      </c>
      <c r="E12" s="6" t="s">
        <v>74</v>
      </c>
      <c r="F12" s="3" t="s">
        <v>19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 t="s">
        <v>38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284.8</v>
      </c>
      <c r="AT12" s="3">
        <v>0</v>
      </c>
      <c r="AU12" s="3">
        <v>0</v>
      </c>
      <c r="AV12" s="3">
        <v>0</v>
      </c>
      <c r="AW12" s="3">
        <v>284.8</v>
      </c>
    </row>
    <row r="13" spans="2:49" x14ac:dyDescent="0.3">
      <c r="B13" s="3" t="s">
        <v>57</v>
      </c>
      <c r="C13" s="5" t="s">
        <v>75</v>
      </c>
      <c r="D13" s="5" t="s">
        <v>76</v>
      </c>
      <c r="E13" s="6" t="s">
        <v>77</v>
      </c>
      <c r="F13" s="3" t="s">
        <v>19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 t="s">
        <v>33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</row>
    <row r="14" spans="2:49" x14ac:dyDescent="0.3">
      <c r="B14" s="3" t="s">
        <v>57</v>
      </c>
      <c r="C14" s="5" t="s">
        <v>75</v>
      </c>
      <c r="D14" s="5" t="s">
        <v>78</v>
      </c>
      <c r="E14" s="6" t="s">
        <v>79</v>
      </c>
      <c r="F14" s="3" t="s">
        <v>19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33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</row>
    <row r="15" spans="2:49" x14ac:dyDescent="0.3">
      <c r="B15" s="3" t="s">
        <v>57</v>
      </c>
      <c r="C15" s="5" t="s">
        <v>75</v>
      </c>
      <c r="D15" s="5" t="s">
        <v>78</v>
      </c>
      <c r="E15" s="6" t="s">
        <v>80</v>
      </c>
      <c r="F15" s="3" t="s">
        <v>19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33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</row>
    <row r="16" spans="2:49" x14ac:dyDescent="0.3">
      <c r="B16" s="3" t="s">
        <v>57</v>
      </c>
      <c r="C16" s="5" t="s">
        <v>81</v>
      </c>
      <c r="D16" s="5" t="s">
        <v>82</v>
      </c>
      <c r="E16" s="6" t="s">
        <v>83</v>
      </c>
      <c r="F16" s="3" t="s">
        <v>19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 t="s">
        <v>34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59.75</v>
      </c>
      <c r="AS16" s="3">
        <v>0</v>
      </c>
      <c r="AT16" s="3">
        <v>0</v>
      </c>
      <c r="AU16" s="3">
        <v>0</v>
      </c>
      <c r="AV16" s="3">
        <v>0</v>
      </c>
      <c r="AW16" s="3">
        <v>59.75</v>
      </c>
    </row>
    <row r="17" spans="2:49" x14ac:dyDescent="0.3">
      <c r="B17" s="3" t="s">
        <v>57</v>
      </c>
      <c r="C17" s="5" t="s">
        <v>84</v>
      </c>
      <c r="D17" s="5" t="s">
        <v>85</v>
      </c>
      <c r="E17" s="6" t="s">
        <v>86</v>
      </c>
      <c r="F17" s="3" t="s">
        <v>19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 t="s">
        <v>39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</row>
    <row r="18" spans="2:49" x14ac:dyDescent="0.3">
      <c r="B18" s="3" t="s">
        <v>57</v>
      </c>
      <c r="C18" s="5" t="s">
        <v>84</v>
      </c>
      <c r="D18" s="5" t="s">
        <v>85</v>
      </c>
      <c r="E18" s="6" t="s">
        <v>87</v>
      </c>
      <c r="F18" s="3" t="s">
        <v>19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 t="s">
        <v>39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</row>
    <row r="19" spans="2:49" x14ac:dyDescent="0.3">
      <c r="B19" s="3" t="s">
        <v>57</v>
      </c>
      <c r="C19" s="5" t="s">
        <v>65</v>
      </c>
      <c r="D19" s="5" t="s">
        <v>66</v>
      </c>
      <c r="E19" s="6" t="s">
        <v>88</v>
      </c>
      <c r="F19" s="3" t="s">
        <v>19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 t="s">
        <v>44</v>
      </c>
      <c r="Z19" s="3">
        <v>0</v>
      </c>
      <c r="AA19" s="3">
        <v>20.399999999999999</v>
      </c>
      <c r="AB19" s="3" t="s">
        <v>23</v>
      </c>
      <c r="AC19" s="3" t="s">
        <v>23</v>
      </c>
      <c r="AD19" s="3" t="s">
        <v>23</v>
      </c>
      <c r="AE19" s="3" t="s">
        <v>23</v>
      </c>
      <c r="AF19" s="3" t="s">
        <v>23</v>
      </c>
      <c r="AG19" s="3" t="s">
        <v>23</v>
      </c>
      <c r="AH19" s="3" t="s">
        <v>23</v>
      </c>
      <c r="AI19" s="3" t="s">
        <v>23</v>
      </c>
      <c r="AJ19" s="3" t="s">
        <v>23</v>
      </c>
      <c r="AK19" s="3" t="s">
        <v>23</v>
      </c>
      <c r="AL19" s="3" t="s">
        <v>23</v>
      </c>
      <c r="AM19" s="3" t="s">
        <v>23</v>
      </c>
      <c r="AN19" s="3" t="s">
        <v>23</v>
      </c>
      <c r="AO19" s="3" t="s">
        <v>23</v>
      </c>
      <c r="AP19" s="3" t="s">
        <v>23</v>
      </c>
      <c r="AQ19" s="3" t="s">
        <v>23</v>
      </c>
      <c r="AR19" s="3" t="s">
        <v>23</v>
      </c>
      <c r="AS19" s="3" t="s">
        <v>23</v>
      </c>
      <c r="AT19" s="3" t="s">
        <v>23</v>
      </c>
      <c r="AU19" s="3" t="s">
        <v>23</v>
      </c>
      <c r="AV19" s="3" t="s">
        <v>23</v>
      </c>
      <c r="AW19" s="3" t="s">
        <v>23</v>
      </c>
    </row>
    <row r="20" spans="2:49" x14ac:dyDescent="0.3">
      <c r="B20" s="3" t="s">
        <v>57</v>
      </c>
      <c r="C20" s="5" t="s">
        <v>65</v>
      </c>
      <c r="D20" s="5" t="s">
        <v>66</v>
      </c>
      <c r="E20" s="6" t="s">
        <v>89</v>
      </c>
      <c r="F20" s="3" t="s">
        <v>19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45</v>
      </c>
      <c r="Z20" s="3">
        <v>0</v>
      </c>
      <c r="AA20" s="3" t="s">
        <v>23</v>
      </c>
      <c r="AB20" s="3" t="s">
        <v>23</v>
      </c>
      <c r="AC20" s="3" t="s">
        <v>23</v>
      </c>
      <c r="AD20" s="3" t="s">
        <v>23</v>
      </c>
      <c r="AE20" s="3" t="s">
        <v>23</v>
      </c>
      <c r="AF20" s="3" t="s">
        <v>23</v>
      </c>
      <c r="AG20" s="3" t="s">
        <v>23</v>
      </c>
      <c r="AH20" s="3" t="s">
        <v>23</v>
      </c>
      <c r="AI20" s="3" t="s">
        <v>23</v>
      </c>
      <c r="AJ20" s="3" t="s">
        <v>23</v>
      </c>
      <c r="AK20" s="3" t="s">
        <v>23</v>
      </c>
      <c r="AL20" s="3" t="s">
        <v>23</v>
      </c>
      <c r="AM20" s="3" t="s">
        <v>23</v>
      </c>
      <c r="AN20" s="3" t="s">
        <v>23</v>
      </c>
      <c r="AO20" s="3" t="s">
        <v>23</v>
      </c>
      <c r="AP20" s="3" t="s">
        <v>23</v>
      </c>
      <c r="AQ20" s="3" t="s">
        <v>23</v>
      </c>
      <c r="AR20" s="3" t="s">
        <v>23</v>
      </c>
      <c r="AS20" s="3" t="s">
        <v>23</v>
      </c>
      <c r="AT20" s="3" t="s">
        <v>23</v>
      </c>
      <c r="AU20" s="3" t="s">
        <v>23</v>
      </c>
      <c r="AV20" s="3" t="s">
        <v>23</v>
      </c>
      <c r="AW20" s="3" t="s">
        <v>23</v>
      </c>
    </row>
    <row r="21" spans="2:49" x14ac:dyDescent="0.3">
      <c r="B21" s="3" t="s">
        <v>57</v>
      </c>
      <c r="C21" s="5" t="s">
        <v>65</v>
      </c>
      <c r="D21" s="5" t="s">
        <v>66</v>
      </c>
      <c r="E21" s="6" t="s">
        <v>88</v>
      </c>
      <c r="F21" s="3" t="s">
        <v>19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 t="s">
        <v>43</v>
      </c>
      <c r="Z21" s="3" t="s">
        <v>23</v>
      </c>
      <c r="AA21" s="3" t="s">
        <v>23</v>
      </c>
      <c r="AB21" s="3" t="s">
        <v>23</v>
      </c>
      <c r="AC21" s="3" t="s">
        <v>23</v>
      </c>
      <c r="AD21" s="3" t="s">
        <v>23</v>
      </c>
      <c r="AE21" s="3" t="s">
        <v>23</v>
      </c>
      <c r="AF21" s="3" t="s">
        <v>23</v>
      </c>
      <c r="AG21" s="3" t="s">
        <v>23</v>
      </c>
      <c r="AH21" s="3" t="s">
        <v>23</v>
      </c>
      <c r="AI21" s="3" t="s">
        <v>23</v>
      </c>
      <c r="AJ21" s="3" t="s">
        <v>23</v>
      </c>
      <c r="AK21" s="3" t="s">
        <v>23</v>
      </c>
      <c r="AL21" s="3" t="s">
        <v>23</v>
      </c>
      <c r="AM21" s="3" t="s">
        <v>23</v>
      </c>
      <c r="AN21" s="3" t="s">
        <v>23</v>
      </c>
      <c r="AO21" s="3" t="s">
        <v>23</v>
      </c>
      <c r="AP21" s="3" t="s">
        <v>23</v>
      </c>
      <c r="AQ21" s="3" t="s">
        <v>23</v>
      </c>
      <c r="AR21" s="3" t="s">
        <v>23</v>
      </c>
      <c r="AS21" s="3" t="s">
        <v>23</v>
      </c>
      <c r="AT21" s="3" t="s">
        <v>23</v>
      </c>
      <c r="AU21" s="3" t="s">
        <v>23</v>
      </c>
      <c r="AV21" s="3" t="s">
        <v>23</v>
      </c>
      <c r="AW21" s="3" t="s">
        <v>23</v>
      </c>
    </row>
    <row r="22" spans="2:49" x14ac:dyDescent="0.3">
      <c r="B22" s="3" t="s">
        <v>57</v>
      </c>
      <c r="C22" s="5" t="s">
        <v>65</v>
      </c>
      <c r="D22" s="5" t="s">
        <v>66</v>
      </c>
      <c r="E22" s="6" t="s">
        <v>90</v>
      </c>
      <c r="F22" s="3" t="s">
        <v>19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47</v>
      </c>
      <c r="Z22" s="3">
        <v>18.600000000000001</v>
      </c>
      <c r="AA22" s="3" t="s">
        <v>23</v>
      </c>
      <c r="AB22" s="3" t="s">
        <v>23</v>
      </c>
      <c r="AC22" s="3" t="s">
        <v>23</v>
      </c>
      <c r="AD22" s="3" t="s">
        <v>23</v>
      </c>
      <c r="AE22" s="3" t="s">
        <v>23</v>
      </c>
      <c r="AF22" s="3" t="s">
        <v>23</v>
      </c>
      <c r="AG22" s="3" t="s">
        <v>23</v>
      </c>
      <c r="AH22" s="3" t="s">
        <v>23</v>
      </c>
      <c r="AI22" s="3" t="s">
        <v>23</v>
      </c>
      <c r="AJ22" s="3" t="s">
        <v>23</v>
      </c>
      <c r="AK22" s="3" t="s">
        <v>23</v>
      </c>
      <c r="AL22" s="3" t="s">
        <v>23</v>
      </c>
      <c r="AM22" s="3" t="s">
        <v>23</v>
      </c>
      <c r="AN22" s="3" t="s">
        <v>23</v>
      </c>
      <c r="AO22" s="3" t="s">
        <v>23</v>
      </c>
      <c r="AP22" s="3" t="s">
        <v>23</v>
      </c>
      <c r="AQ22" s="3" t="s">
        <v>23</v>
      </c>
      <c r="AR22" s="3" t="s">
        <v>23</v>
      </c>
      <c r="AS22" s="3" t="s">
        <v>23</v>
      </c>
      <c r="AT22" s="3" t="s">
        <v>23</v>
      </c>
      <c r="AU22" s="3" t="s">
        <v>23</v>
      </c>
      <c r="AV22" s="3" t="s">
        <v>23</v>
      </c>
      <c r="AW22" s="3" t="s">
        <v>23</v>
      </c>
    </row>
    <row r="23" spans="2:49" x14ac:dyDescent="0.3">
      <c r="B23" s="3" t="s">
        <v>57</v>
      </c>
      <c r="C23" s="5" t="s">
        <v>75</v>
      </c>
      <c r="D23" s="5" t="s">
        <v>76</v>
      </c>
      <c r="E23" s="6" t="s">
        <v>91</v>
      </c>
      <c r="F23" s="3" t="s">
        <v>19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 t="s">
        <v>33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</row>
    <row r="24" spans="2:49" x14ac:dyDescent="0.3">
      <c r="B24" s="3" t="s">
        <v>57</v>
      </c>
      <c r="C24" s="5" t="s">
        <v>65</v>
      </c>
      <c r="D24" s="5" t="s">
        <v>66</v>
      </c>
      <c r="E24" s="6" t="s">
        <v>89</v>
      </c>
      <c r="F24" s="3" t="s">
        <v>19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43</v>
      </c>
      <c r="Z24" s="3" t="s">
        <v>23</v>
      </c>
      <c r="AA24" s="3" t="s">
        <v>23</v>
      </c>
      <c r="AB24" s="3" t="s">
        <v>23</v>
      </c>
      <c r="AC24" s="3" t="s">
        <v>23</v>
      </c>
      <c r="AD24" s="3" t="s">
        <v>23</v>
      </c>
      <c r="AE24" s="3" t="s">
        <v>23</v>
      </c>
      <c r="AF24" s="3" t="s">
        <v>23</v>
      </c>
      <c r="AG24" s="3" t="s">
        <v>23</v>
      </c>
      <c r="AH24" s="3" t="s">
        <v>23</v>
      </c>
      <c r="AI24" s="3" t="s">
        <v>23</v>
      </c>
      <c r="AJ24" s="3" t="s">
        <v>23</v>
      </c>
      <c r="AK24" s="3" t="s">
        <v>23</v>
      </c>
      <c r="AL24" s="3" t="s">
        <v>23</v>
      </c>
      <c r="AM24" s="3" t="s">
        <v>23</v>
      </c>
      <c r="AN24" s="3" t="s">
        <v>23</v>
      </c>
      <c r="AO24" s="3" t="s">
        <v>23</v>
      </c>
      <c r="AP24" s="3" t="s">
        <v>23</v>
      </c>
      <c r="AQ24" s="3" t="s">
        <v>23</v>
      </c>
      <c r="AR24" s="3" t="s">
        <v>23</v>
      </c>
      <c r="AS24" s="3" t="s">
        <v>23</v>
      </c>
      <c r="AT24" s="3" t="s">
        <v>23</v>
      </c>
      <c r="AU24" s="3" t="s">
        <v>23</v>
      </c>
      <c r="AV24" s="3" t="s">
        <v>23</v>
      </c>
      <c r="AW24" s="3" t="s">
        <v>23</v>
      </c>
    </row>
    <row r="25" spans="2:49" x14ac:dyDescent="0.3">
      <c r="B25" s="3" t="s">
        <v>57</v>
      </c>
      <c r="C25" s="5" t="s">
        <v>75</v>
      </c>
      <c r="D25" s="5" t="s">
        <v>78</v>
      </c>
      <c r="E25" s="6" t="s">
        <v>79</v>
      </c>
      <c r="F25" s="3" t="s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 t="s">
        <v>33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</row>
    <row r="26" spans="2:49" x14ac:dyDescent="0.3">
      <c r="B26" s="3" t="s">
        <v>57</v>
      </c>
      <c r="C26" s="5" t="s">
        <v>75</v>
      </c>
      <c r="D26" s="5" t="s">
        <v>78</v>
      </c>
      <c r="E26" s="6" t="s">
        <v>80</v>
      </c>
      <c r="F26" s="3" t="s">
        <v>19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 t="s">
        <v>33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</row>
    <row r="27" spans="2:49" x14ac:dyDescent="0.3">
      <c r="B27" s="3" t="s">
        <v>57</v>
      </c>
      <c r="C27" s="5" t="s">
        <v>65</v>
      </c>
      <c r="D27" s="5" t="s">
        <v>66</v>
      </c>
      <c r="E27" s="6" t="s">
        <v>89</v>
      </c>
      <c r="F27" s="3" t="s">
        <v>19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 t="s">
        <v>43</v>
      </c>
      <c r="Z27" s="3" t="s">
        <v>23</v>
      </c>
      <c r="AA27" s="3" t="s">
        <v>23</v>
      </c>
      <c r="AB27" s="3" t="s">
        <v>23</v>
      </c>
      <c r="AC27" s="3" t="s">
        <v>23</v>
      </c>
      <c r="AD27" s="3" t="s">
        <v>23</v>
      </c>
      <c r="AE27" s="3" t="s">
        <v>23</v>
      </c>
      <c r="AF27" s="3" t="s">
        <v>23</v>
      </c>
      <c r="AG27" s="3" t="s">
        <v>23</v>
      </c>
      <c r="AH27" s="3" t="s">
        <v>23</v>
      </c>
      <c r="AI27" s="3" t="s">
        <v>23</v>
      </c>
      <c r="AJ27" s="3" t="s">
        <v>23</v>
      </c>
      <c r="AK27" s="3" t="s">
        <v>23</v>
      </c>
      <c r="AL27" s="3" t="s">
        <v>23</v>
      </c>
      <c r="AM27" s="3" t="s">
        <v>23</v>
      </c>
      <c r="AN27" s="3" t="s">
        <v>23</v>
      </c>
      <c r="AO27" s="3" t="s">
        <v>23</v>
      </c>
      <c r="AP27" s="3" t="s">
        <v>23</v>
      </c>
      <c r="AQ27" s="3" t="s">
        <v>23</v>
      </c>
      <c r="AR27" s="3" t="s">
        <v>23</v>
      </c>
      <c r="AS27" s="3" t="s">
        <v>23</v>
      </c>
      <c r="AT27" s="3" t="s">
        <v>23</v>
      </c>
      <c r="AU27" s="3" t="s">
        <v>23</v>
      </c>
      <c r="AV27" s="3" t="s">
        <v>23</v>
      </c>
      <c r="AW27" s="3" t="s">
        <v>23</v>
      </c>
    </row>
    <row r="28" spans="2:49" x14ac:dyDescent="0.3">
      <c r="B28" s="3" t="s">
        <v>57</v>
      </c>
      <c r="C28" s="5" t="s">
        <v>92</v>
      </c>
      <c r="D28" s="5" t="s">
        <v>93</v>
      </c>
      <c r="E28" s="6" t="s">
        <v>94</v>
      </c>
      <c r="F28" s="3" t="s">
        <v>19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 t="s">
        <v>38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284.8</v>
      </c>
      <c r="AT28" s="3">
        <v>0</v>
      </c>
      <c r="AU28" s="3">
        <v>0</v>
      </c>
      <c r="AV28" s="3">
        <v>0</v>
      </c>
      <c r="AW28" s="3">
        <v>284.8</v>
      </c>
    </row>
    <row r="29" spans="2:49" x14ac:dyDescent="0.3">
      <c r="B29" s="3" t="s">
        <v>57</v>
      </c>
      <c r="C29" s="5" t="s">
        <v>84</v>
      </c>
      <c r="D29" s="5" t="s">
        <v>85</v>
      </c>
      <c r="E29" s="6" t="s">
        <v>95</v>
      </c>
      <c r="F29" s="3" t="s">
        <v>19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39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</row>
    <row r="30" spans="2:49" x14ac:dyDescent="0.3">
      <c r="B30" s="3" t="s">
        <v>57</v>
      </c>
      <c r="C30" s="5" t="s">
        <v>96</v>
      </c>
      <c r="D30" s="5" t="s">
        <v>97</v>
      </c>
      <c r="E30" s="6" t="s">
        <v>98</v>
      </c>
      <c r="F30" s="3" t="s">
        <v>19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 t="s">
        <v>53</v>
      </c>
      <c r="Z30" s="3">
        <v>4.6500000000000004</v>
      </c>
      <c r="AA30" s="3" t="s">
        <v>23</v>
      </c>
      <c r="AB30" s="3" t="s">
        <v>23</v>
      </c>
      <c r="AC30" s="3" t="s">
        <v>23</v>
      </c>
      <c r="AD30" s="3" t="s">
        <v>23</v>
      </c>
      <c r="AE30" s="3" t="s">
        <v>23</v>
      </c>
      <c r="AF30" s="3" t="s">
        <v>23</v>
      </c>
      <c r="AG30" s="3" t="s">
        <v>23</v>
      </c>
      <c r="AH30" s="3" t="s">
        <v>23</v>
      </c>
      <c r="AI30" s="3" t="s">
        <v>23</v>
      </c>
      <c r="AJ30" s="3" t="s">
        <v>23</v>
      </c>
      <c r="AK30" s="3" t="s">
        <v>23</v>
      </c>
      <c r="AL30" s="3" t="s">
        <v>23</v>
      </c>
      <c r="AM30" s="3" t="s">
        <v>23</v>
      </c>
      <c r="AN30" s="3" t="s">
        <v>23</v>
      </c>
      <c r="AO30" s="3" t="s">
        <v>23</v>
      </c>
      <c r="AP30" s="3" t="s">
        <v>23</v>
      </c>
      <c r="AQ30" s="3" t="s">
        <v>23</v>
      </c>
      <c r="AR30" s="3" t="s">
        <v>23</v>
      </c>
      <c r="AS30" s="3" t="s">
        <v>23</v>
      </c>
      <c r="AT30" s="3" t="s">
        <v>23</v>
      </c>
      <c r="AU30" s="3" t="s">
        <v>23</v>
      </c>
      <c r="AV30" s="3" t="s">
        <v>23</v>
      </c>
      <c r="AW30" s="3" t="s">
        <v>23</v>
      </c>
    </row>
    <row r="31" spans="2:49" x14ac:dyDescent="0.3">
      <c r="B31" s="3" t="s">
        <v>57</v>
      </c>
      <c r="C31" s="5" t="s">
        <v>96</v>
      </c>
      <c r="D31" s="5" t="s">
        <v>97</v>
      </c>
      <c r="E31" s="6" t="s">
        <v>99</v>
      </c>
      <c r="F31" s="3" t="s">
        <v>19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 t="s">
        <v>45</v>
      </c>
      <c r="Z31" s="3">
        <v>0</v>
      </c>
      <c r="AA31" s="3" t="s">
        <v>23</v>
      </c>
      <c r="AB31" s="3" t="s">
        <v>23</v>
      </c>
      <c r="AC31" s="3" t="s">
        <v>23</v>
      </c>
      <c r="AD31" s="3" t="s">
        <v>23</v>
      </c>
      <c r="AE31" s="3" t="s">
        <v>23</v>
      </c>
      <c r="AF31" s="3" t="s">
        <v>23</v>
      </c>
      <c r="AG31" s="3" t="s">
        <v>23</v>
      </c>
      <c r="AH31" s="3" t="s">
        <v>23</v>
      </c>
      <c r="AI31" s="3" t="s">
        <v>23</v>
      </c>
      <c r="AJ31" s="3" t="s">
        <v>23</v>
      </c>
      <c r="AK31" s="3" t="s">
        <v>23</v>
      </c>
      <c r="AL31" s="3" t="s">
        <v>23</v>
      </c>
      <c r="AM31" s="3" t="s">
        <v>23</v>
      </c>
      <c r="AN31" s="3" t="s">
        <v>23</v>
      </c>
      <c r="AO31" s="3" t="s">
        <v>23</v>
      </c>
      <c r="AP31" s="3" t="s">
        <v>23</v>
      </c>
      <c r="AQ31" s="3" t="s">
        <v>23</v>
      </c>
      <c r="AR31" s="3" t="s">
        <v>23</v>
      </c>
      <c r="AS31" s="3" t="s">
        <v>23</v>
      </c>
      <c r="AT31" s="3" t="s">
        <v>23</v>
      </c>
      <c r="AU31" s="3" t="s">
        <v>23</v>
      </c>
      <c r="AV31" s="3" t="s">
        <v>23</v>
      </c>
      <c r="AW31" s="3" t="s">
        <v>23</v>
      </c>
    </row>
    <row r="32" spans="2:49" x14ac:dyDescent="0.3">
      <c r="B32" s="3" t="s">
        <v>57</v>
      </c>
      <c r="C32" s="5" t="s">
        <v>65</v>
      </c>
      <c r="D32" s="5" t="s">
        <v>66</v>
      </c>
      <c r="E32" s="6" t="s">
        <v>67</v>
      </c>
      <c r="F32" s="3" t="s">
        <v>19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52</v>
      </c>
      <c r="Z32" s="3">
        <v>18.600000000000001</v>
      </c>
      <c r="AA32" s="3" t="s">
        <v>23</v>
      </c>
      <c r="AB32" s="3" t="s">
        <v>23</v>
      </c>
      <c r="AC32" s="3" t="s">
        <v>23</v>
      </c>
      <c r="AD32" s="3" t="s">
        <v>23</v>
      </c>
      <c r="AE32" s="3" t="s">
        <v>23</v>
      </c>
      <c r="AF32" s="3" t="s">
        <v>23</v>
      </c>
      <c r="AG32" s="3" t="s">
        <v>23</v>
      </c>
      <c r="AH32" s="3" t="s">
        <v>23</v>
      </c>
      <c r="AI32" s="3" t="s">
        <v>23</v>
      </c>
      <c r="AJ32" s="3" t="s">
        <v>23</v>
      </c>
      <c r="AK32" s="3" t="s">
        <v>23</v>
      </c>
      <c r="AL32" s="3" t="s">
        <v>23</v>
      </c>
      <c r="AM32" s="3" t="s">
        <v>23</v>
      </c>
      <c r="AN32" s="3" t="s">
        <v>23</v>
      </c>
      <c r="AO32" s="3" t="s">
        <v>23</v>
      </c>
      <c r="AP32" s="3" t="s">
        <v>23</v>
      </c>
      <c r="AQ32" s="3" t="s">
        <v>23</v>
      </c>
      <c r="AR32" s="3" t="s">
        <v>23</v>
      </c>
      <c r="AS32" s="3" t="s">
        <v>23</v>
      </c>
      <c r="AT32" s="3" t="s">
        <v>23</v>
      </c>
      <c r="AU32" s="3" t="s">
        <v>23</v>
      </c>
      <c r="AV32" s="3" t="s">
        <v>23</v>
      </c>
      <c r="AW32" s="3" t="s">
        <v>23</v>
      </c>
    </row>
    <row r="33" spans="2:49" x14ac:dyDescent="0.3">
      <c r="B33" s="3" t="s">
        <v>57</v>
      </c>
      <c r="C33" s="5" t="s">
        <v>104</v>
      </c>
      <c r="D33" s="5" t="s">
        <v>105</v>
      </c>
      <c r="E33" s="6" t="s">
        <v>106</v>
      </c>
      <c r="F33" s="3" t="s">
        <v>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 t="s">
        <v>43</v>
      </c>
      <c r="Z33" s="3" t="s">
        <v>23</v>
      </c>
      <c r="AA33" s="3" t="s">
        <v>23</v>
      </c>
      <c r="AB33" s="3" t="s">
        <v>23</v>
      </c>
      <c r="AC33" s="3" t="s">
        <v>23</v>
      </c>
      <c r="AD33" s="3" t="s">
        <v>23</v>
      </c>
      <c r="AE33" s="3" t="s">
        <v>23</v>
      </c>
      <c r="AF33" s="3" t="s">
        <v>23</v>
      </c>
      <c r="AG33" s="3" t="s">
        <v>23</v>
      </c>
      <c r="AH33" s="3" t="s">
        <v>23</v>
      </c>
      <c r="AI33" s="3" t="s">
        <v>23</v>
      </c>
      <c r="AJ33" s="3" t="s">
        <v>23</v>
      </c>
      <c r="AK33" s="3" t="s">
        <v>23</v>
      </c>
      <c r="AL33" s="3" t="s">
        <v>23</v>
      </c>
      <c r="AM33" s="3" t="s">
        <v>23</v>
      </c>
      <c r="AN33" s="3" t="s">
        <v>23</v>
      </c>
      <c r="AO33" s="3" t="s">
        <v>23</v>
      </c>
      <c r="AP33" s="3" t="s">
        <v>23</v>
      </c>
      <c r="AQ33" s="3" t="s">
        <v>23</v>
      </c>
      <c r="AR33" s="3" t="s">
        <v>23</v>
      </c>
      <c r="AS33" s="3" t="s">
        <v>23</v>
      </c>
      <c r="AT33" s="3" t="s">
        <v>23</v>
      </c>
      <c r="AU33" s="3" t="s">
        <v>23</v>
      </c>
      <c r="AV33" s="3" t="s">
        <v>23</v>
      </c>
      <c r="AW33" s="3" t="s">
        <v>23</v>
      </c>
    </row>
    <row r="34" spans="2:49" x14ac:dyDescent="0.3">
      <c r="B34" s="3" t="s">
        <v>57</v>
      </c>
      <c r="C34" s="5" t="s">
        <v>104</v>
      </c>
      <c r="D34" s="5" t="s">
        <v>66</v>
      </c>
      <c r="E34" s="6" t="s">
        <v>67</v>
      </c>
      <c r="F34" s="3" t="s">
        <v>19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 t="s">
        <v>35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119.5</v>
      </c>
      <c r="AS34" s="3">
        <v>569.6</v>
      </c>
      <c r="AT34" s="3">
        <v>0</v>
      </c>
      <c r="AU34" s="3">
        <v>0</v>
      </c>
      <c r="AV34" s="3">
        <v>0</v>
      </c>
      <c r="AW34" s="3">
        <v>689.1</v>
      </c>
    </row>
    <row r="35" spans="2:49" x14ac:dyDescent="0.3">
      <c r="B35" s="3" t="s">
        <v>57</v>
      </c>
      <c r="C35" s="5" t="s">
        <v>81</v>
      </c>
      <c r="D35" s="5" t="s">
        <v>100</v>
      </c>
      <c r="E35" s="6" t="s">
        <v>101</v>
      </c>
      <c r="F35" s="3" t="s">
        <v>19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 t="s">
        <v>39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</row>
    <row r="36" spans="2:49" x14ac:dyDescent="0.3">
      <c r="B36" s="3" t="s">
        <v>57</v>
      </c>
      <c r="C36" s="5" t="s">
        <v>65</v>
      </c>
      <c r="D36" s="5" t="s">
        <v>72</v>
      </c>
      <c r="E36" s="6" t="s">
        <v>102</v>
      </c>
      <c r="F36" s="3" t="s">
        <v>19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 t="s">
        <v>38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284.8</v>
      </c>
      <c r="AT36" s="3">
        <v>0</v>
      </c>
      <c r="AU36" s="3">
        <v>0</v>
      </c>
      <c r="AV36" s="3">
        <v>0</v>
      </c>
      <c r="AW36" s="3">
        <v>284.8</v>
      </c>
    </row>
    <row r="37" spans="2:49" x14ac:dyDescent="0.3">
      <c r="B37" s="3" t="s">
        <v>57</v>
      </c>
      <c r="C37" s="5" t="s">
        <v>65</v>
      </c>
      <c r="D37" s="5" t="s">
        <v>72</v>
      </c>
      <c r="E37" s="6" t="s">
        <v>102</v>
      </c>
      <c r="F37" s="3" t="s">
        <v>19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 t="s">
        <v>38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284.8</v>
      </c>
      <c r="AT37" s="3">
        <v>0</v>
      </c>
      <c r="AU37" s="3">
        <v>0</v>
      </c>
      <c r="AV37" s="3">
        <v>0</v>
      </c>
      <c r="AW37" s="3">
        <v>284.8</v>
      </c>
    </row>
    <row r="38" spans="2:49" x14ac:dyDescent="0.3">
      <c r="B38" s="3" t="s">
        <v>57</v>
      </c>
      <c r="C38" s="5" t="s">
        <v>92</v>
      </c>
      <c r="D38" s="5" t="s">
        <v>93</v>
      </c>
      <c r="E38" s="6" t="s">
        <v>94</v>
      </c>
      <c r="F38" s="3" t="s">
        <v>19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 t="s">
        <v>53</v>
      </c>
      <c r="Z38" s="3">
        <v>4.6500000000000004</v>
      </c>
      <c r="AA38" s="3" t="s">
        <v>23</v>
      </c>
      <c r="AB38" s="3" t="s">
        <v>23</v>
      </c>
      <c r="AC38" s="3" t="s">
        <v>23</v>
      </c>
      <c r="AD38" s="3" t="s">
        <v>23</v>
      </c>
      <c r="AE38" s="3" t="s">
        <v>23</v>
      </c>
      <c r="AF38" s="3" t="s">
        <v>23</v>
      </c>
      <c r="AG38" s="3" t="s">
        <v>23</v>
      </c>
      <c r="AH38" s="3" t="s">
        <v>23</v>
      </c>
      <c r="AI38" s="3" t="s">
        <v>23</v>
      </c>
      <c r="AJ38" s="3" t="s">
        <v>23</v>
      </c>
      <c r="AK38" s="3" t="s">
        <v>23</v>
      </c>
      <c r="AL38" s="3" t="s">
        <v>23</v>
      </c>
      <c r="AM38" s="3" t="s">
        <v>23</v>
      </c>
      <c r="AN38" s="3" t="s">
        <v>23</v>
      </c>
      <c r="AO38" s="3" t="s">
        <v>23</v>
      </c>
      <c r="AP38" s="3" t="s">
        <v>23</v>
      </c>
      <c r="AQ38" s="3" t="s">
        <v>23</v>
      </c>
      <c r="AR38" s="3" t="s">
        <v>23</v>
      </c>
      <c r="AS38" s="3" t="s">
        <v>23</v>
      </c>
      <c r="AT38" s="3" t="s">
        <v>23</v>
      </c>
      <c r="AU38" s="3" t="s">
        <v>23</v>
      </c>
      <c r="AV38" s="3" t="s">
        <v>23</v>
      </c>
      <c r="AW38" s="3" t="s">
        <v>23</v>
      </c>
    </row>
    <row r="39" spans="2:49" x14ac:dyDescent="0.3">
      <c r="B39" s="3" t="s">
        <v>57</v>
      </c>
      <c r="C39" s="5" t="s">
        <v>65</v>
      </c>
      <c r="D39" s="5" t="s">
        <v>72</v>
      </c>
      <c r="E39" s="6" t="s">
        <v>102</v>
      </c>
      <c r="F39" s="3" t="s">
        <v>19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 t="s">
        <v>38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284.8</v>
      </c>
      <c r="AT39" s="3">
        <v>0</v>
      </c>
      <c r="AU39" s="3">
        <v>0</v>
      </c>
      <c r="AV39" s="3">
        <v>0</v>
      </c>
      <c r="AW39" s="3">
        <v>284.8</v>
      </c>
    </row>
    <row r="40" spans="2:49" x14ac:dyDescent="0.3">
      <c r="B40" s="3" t="s">
        <v>57</v>
      </c>
      <c r="C40" s="5" t="s">
        <v>65</v>
      </c>
      <c r="D40" s="5" t="s">
        <v>72</v>
      </c>
      <c r="E40" s="6" t="s">
        <v>102</v>
      </c>
      <c r="F40" s="3" t="s">
        <v>19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 t="s">
        <v>38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284.8</v>
      </c>
      <c r="AT40" s="3">
        <v>0</v>
      </c>
      <c r="AU40" s="3">
        <v>0</v>
      </c>
      <c r="AV40" s="3">
        <v>0</v>
      </c>
      <c r="AW40" s="3">
        <v>284.8</v>
      </c>
    </row>
    <row r="41" spans="2:49" x14ac:dyDescent="0.3">
      <c r="B41" s="3" t="s">
        <v>56</v>
      </c>
      <c r="C41" s="5" t="s">
        <v>107</v>
      </c>
      <c r="D41" s="5" t="s">
        <v>108</v>
      </c>
      <c r="E41" s="6" t="s">
        <v>109</v>
      </c>
      <c r="F41" s="3" t="s">
        <v>22</v>
      </c>
      <c r="G41" s="3">
        <v>0</v>
      </c>
      <c r="H41" s="3">
        <v>10.199999999999999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10.199999999999999</v>
      </c>
      <c r="Y41" s="3" t="s">
        <v>40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36.9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36.9</v>
      </c>
    </row>
    <row r="42" spans="2:49" x14ac:dyDescent="0.3">
      <c r="B42" s="3" t="s">
        <v>56</v>
      </c>
      <c r="C42" s="5" t="s">
        <v>107</v>
      </c>
      <c r="D42" s="5" t="s">
        <v>110</v>
      </c>
      <c r="E42" s="6" t="s">
        <v>111</v>
      </c>
      <c r="F42" s="3" t="s">
        <v>22</v>
      </c>
      <c r="G42" s="3">
        <v>0</v>
      </c>
      <c r="H42" s="3">
        <v>10.199999999999999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10.199999999999999</v>
      </c>
      <c r="Y42" s="3" t="s">
        <v>40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36.9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36.9</v>
      </c>
    </row>
    <row r="43" spans="2:49" x14ac:dyDescent="0.3">
      <c r="B43" s="3" t="s">
        <v>56</v>
      </c>
      <c r="C43" s="5" t="s">
        <v>107</v>
      </c>
      <c r="D43" s="5" t="s">
        <v>112</v>
      </c>
      <c r="E43" s="6" t="s">
        <v>113</v>
      </c>
      <c r="F43" s="3" t="s">
        <v>22</v>
      </c>
      <c r="G43" s="3">
        <v>0</v>
      </c>
      <c r="H43" s="3">
        <v>10.199999999999999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10.199999999999999</v>
      </c>
      <c r="Y43" s="3" t="s">
        <v>40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36.9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36.9</v>
      </c>
    </row>
    <row r="44" spans="2:49" x14ac:dyDescent="0.3">
      <c r="B44" s="3" t="s">
        <v>56</v>
      </c>
      <c r="C44" s="5" t="s">
        <v>107</v>
      </c>
      <c r="D44" s="5" t="s">
        <v>114</v>
      </c>
      <c r="E44" s="6" t="s">
        <v>115</v>
      </c>
      <c r="F44" s="3" t="s">
        <v>22</v>
      </c>
      <c r="G44" s="3">
        <v>0</v>
      </c>
      <c r="H44" s="3">
        <v>10.199999999999999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10.199999999999999</v>
      </c>
      <c r="Y44" s="3" t="s">
        <v>40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36.9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36.9</v>
      </c>
    </row>
    <row r="45" spans="2:49" x14ac:dyDescent="0.3">
      <c r="B45" s="3" t="s">
        <v>56</v>
      </c>
      <c r="C45" s="5" t="s">
        <v>107</v>
      </c>
      <c r="D45" s="5" t="s">
        <v>116</v>
      </c>
      <c r="E45" s="6" t="s">
        <v>117</v>
      </c>
      <c r="F45" s="3" t="s">
        <v>22</v>
      </c>
      <c r="G45" s="3">
        <v>0</v>
      </c>
      <c r="H45" s="3">
        <v>10.199999999999999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10.199999999999999</v>
      </c>
      <c r="Y45" s="3" t="s">
        <v>40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36.9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36.9</v>
      </c>
    </row>
    <row r="46" spans="2:49" x14ac:dyDescent="0.3">
      <c r="B46" s="3" t="s">
        <v>56</v>
      </c>
      <c r="C46" s="5" t="s">
        <v>107</v>
      </c>
      <c r="D46" s="5" t="s">
        <v>118</v>
      </c>
      <c r="E46" s="6" t="s">
        <v>119</v>
      </c>
      <c r="F46" s="3" t="s">
        <v>22</v>
      </c>
      <c r="G46" s="3">
        <v>0</v>
      </c>
      <c r="H46" s="3">
        <v>10.199999999999999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10.199999999999999</v>
      </c>
      <c r="Y46" s="3" t="s">
        <v>40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36.9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36.9</v>
      </c>
    </row>
    <row r="47" spans="2:49" x14ac:dyDescent="0.3">
      <c r="B47" s="3" t="s">
        <v>56</v>
      </c>
      <c r="C47" s="5" t="s">
        <v>107</v>
      </c>
      <c r="D47" s="5" t="s">
        <v>120</v>
      </c>
      <c r="E47" s="6" t="s">
        <v>121</v>
      </c>
      <c r="F47" s="3" t="s">
        <v>22</v>
      </c>
      <c r="G47" s="3">
        <v>0</v>
      </c>
      <c r="H47" s="3">
        <v>10.199999999999999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10.199999999999999</v>
      </c>
      <c r="Y47" s="3" t="s">
        <v>40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36.9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36.9</v>
      </c>
    </row>
    <row r="48" spans="2:49" x14ac:dyDescent="0.3">
      <c r="B48" s="3" t="s">
        <v>56</v>
      </c>
      <c r="C48" s="5" t="s">
        <v>107</v>
      </c>
      <c r="D48" s="5" t="s">
        <v>122</v>
      </c>
      <c r="E48" s="6" t="s">
        <v>123</v>
      </c>
      <c r="F48" s="3" t="s">
        <v>24</v>
      </c>
      <c r="G48" s="3">
        <v>0</v>
      </c>
      <c r="H48" s="3">
        <v>0</v>
      </c>
      <c r="I48" s="3">
        <v>11.75</v>
      </c>
      <c r="J48" s="3">
        <v>0</v>
      </c>
      <c r="K48" s="3">
        <v>15.8</v>
      </c>
      <c r="L48" s="3">
        <v>0</v>
      </c>
      <c r="M48" s="3">
        <v>43.3</v>
      </c>
      <c r="N48" s="3">
        <v>408</v>
      </c>
      <c r="O48" s="3">
        <v>240.8</v>
      </c>
      <c r="P48" s="3">
        <v>142.4</v>
      </c>
      <c r="Q48" s="3">
        <v>169</v>
      </c>
      <c r="R48" s="3">
        <v>0</v>
      </c>
      <c r="S48" s="3">
        <v>0</v>
      </c>
      <c r="T48" s="3">
        <v>0</v>
      </c>
      <c r="U48" s="3">
        <v>0</v>
      </c>
      <c r="V48" s="3">
        <v>405.6</v>
      </c>
      <c r="W48" s="3">
        <v>0</v>
      </c>
      <c r="X48" s="3">
        <v>1436.65</v>
      </c>
      <c r="Y48" s="3" t="s">
        <v>48</v>
      </c>
      <c r="Z48" s="3">
        <v>4.6500000000000004</v>
      </c>
      <c r="AA48" s="3">
        <v>0</v>
      </c>
      <c r="AB48" s="3">
        <v>5.6</v>
      </c>
      <c r="AC48" s="3">
        <v>0</v>
      </c>
      <c r="AD48" s="3">
        <v>55.6</v>
      </c>
      <c r="AE48" s="3">
        <v>31.4</v>
      </c>
      <c r="AF48" s="3">
        <v>71.2</v>
      </c>
      <c r="AG48" s="3">
        <v>163.19999999999999</v>
      </c>
      <c r="AH48" s="3">
        <v>94</v>
      </c>
      <c r="AI48" s="3">
        <v>0</v>
      </c>
      <c r="AJ48" s="3">
        <v>0</v>
      </c>
      <c r="AK48" s="3">
        <v>18.45</v>
      </c>
      <c r="AL48" s="3">
        <v>0</v>
      </c>
      <c r="AM48" s="3">
        <v>0</v>
      </c>
      <c r="AN48" s="3">
        <v>60.2</v>
      </c>
      <c r="AO48" s="3">
        <v>569.6</v>
      </c>
      <c r="AP48" s="3">
        <v>169</v>
      </c>
      <c r="AQ48" s="3">
        <v>803.2</v>
      </c>
      <c r="AR48" s="3">
        <v>239</v>
      </c>
      <c r="AS48" s="3">
        <v>569.6</v>
      </c>
      <c r="AT48" s="3">
        <v>0</v>
      </c>
      <c r="AU48" s="3">
        <v>405.6</v>
      </c>
      <c r="AV48" s="3">
        <v>0</v>
      </c>
      <c r="AW48" s="3">
        <v>3260.3</v>
      </c>
    </row>
    <row r="49" spans="2:49" x14ac:dyDescent="0.3">
      <c r="B49" s="3" t="s">
        <v>56</v>
      </c>
      <c r="C49" s="5" t="s">
        <v>107</v>
      </c>
      <c r="D49" s="5" t="s">
        <v>124</v>
      </c>
      <c r="E49" s="6" t="s">
        <v>125</v>
      </c>
      <c r="F49" s="3" t="s">
        <v>22</v>
      </c>
      <c r="G49" s="3">
        <v>0</v>
      </c>
      <c r="H49" s="3">
        <v>10.199999999999999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10.199999999999999</v>
      </c>
      <c r="Y49" s="3" t="s">
        <v>40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36.9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36.9</v>
      </c>
    </row>
    <row r="50" spans="2:49" x14ac:dyDescent="0.3">
      <c r="B50" s="3" t="s">
        <v>56</v>
      </c>
      <c r="C50" s="5" t="s">
        <v>107</v>
      </c>
      <c r="D50" s="5" t="s">
        <v>126</v>
      </c>
      <c r="E50" s="6" t="s">
        <v>127</v>
      </c>
      <c r="F50" s="3" t="s">
        <v>22</v>
      </c>
      <c r="G50" s="3">
        <v>0</v>
      </c>
      <c r="H50" s="3">
        <v>10.199999999999999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10.199999999999999</v>
      </c>
      <c r="Y50" s="3" t="s">
        <v>40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36.9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36.9</v>
      </c>
    </row>
    <row r="51" spans="2:49" x14ac:dyDescent="0.3">
      <c r="B51" s="3" t="s">
        <v>56</v>
      </c>
      <c r="C51" s="5" t="s">
        <v>107</v>
      </c>
      <c r="D51" s="5" t="s">
        <v>128</v>
      </c>
      <c r="E51" s="6" t="s">
        <v>129</v>
      </c>
      <c r="F51" s="3" t="s">
        <v>22</v>
      </c>
      <c r="G51" s="3">
        <v>0</v>
      </c>
      <c r="H51" s="3">
        <v>10.199999999999999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10.199999999999999</v>
      </c>
      <c r="Y51" s="3" t="s">
        <v>40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36.9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36.9</v>
      </c>
    </row>
    <row r="52" spans="2:49" x14ac:dyDescent="0.3">
      <c r="B52" s="3" t="s">
        <v>56</v>
      </c>
      <c r="C52" s="5" t="s">
        <v>107</v>
      </c>
      <c r="D52" s="5" t="s">
        <v>130</v>
      </c>
      <c r="E52" s="6" t="s">
        <v>131</v>
      </c>
      <c r="F52" s="3" t="s">
        <v>22</v>
      </c>
      <c r="G52" s="3">
        <v>0</v>
      </c>
      <c r="H52" s="3">
        <v>10.199999999999999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10.199999999999999</v>
      </c>
      <c r="Y52" s="3" t="s">
        <v>40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36.9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36.9</v>
      </c>
    </row>
    <row r="53" spans="2:49" x14ac:dyDescent="0.3">
      <c r="B53" s="3" t="s">
        <v>56</v>
      </c>
      <c r="C53" s="5" t="s">
        <v>107</v>
      </c>
      <c r="D53" s="5" t="s">
        <v>132</v>
      </c>
      <c r="E53" s="6" t="s">
        <v>133</v>
      </c>
      <c r="F53" s="3" t="s">
        <v>22</v>
      </c>
      <c r="G53" s="3">
        <v>0</v>
      </c>
      <c r="H53" s="3">
        <v>10.199999999999999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10.199999999999999</v>
      </c>
      <c r="Y53" s="3" t="s">
        <v>40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36.9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36.9</v>
      </c>
    </row>
    <row r="54" spans="2:49" x14ac:dyDescent="0.3">
      <c r="B54" s="3" t="s">
        <v>56</v>
      </c>
      <c r="C54" s="5" t="s">
        <v>107</v>
      </c>
      <c r="D54" s="5" t="s">
        <v>126</v>
      </c>
      <c r="E54" s="6" t="s">
        <v>127</v>
      </c>
      <c r="F54" s="3" t="s">
        <v>22</v>
      </c>
      <c r="G54" s="3">
        <v>0</v>
      </c>
      <c r="H54" s="3">
        <v>10.199999999999999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10.199999999999999</v>
      </c>
      <c r="Y54" s="3" t="s">
        <v>40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36.9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36.9</v>
      </c>
    </row>
    <row r="55" spans="2:49" x14ac:dyDescent="0.3">
      <c r="B55" s="3" t="s">
        <v>56</v>
      </c>
      <c r="C55" s="5" t="s">
        <v>107</v>
      </c>
      <c r="D55" s="5" t="s">
        <v>134</v>
      </c>
      <c r="E55" s="6" t="s">
        <v>135</v>
      </c>
      <c r="F55" s="3" t="s">
        <v>22</v>
      </c>
      <c r="G55" s="3">
        <v>0</v>
      </c>
      <c r="H55" s="3">
        <v>10.199999999999999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10.199999999999999</v>
      </c>
      <c r="Y55" s="3" t="s">
        <v>40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36.9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36.9</v>
      </c>
    </row>
    <row r="56" spans="2:49" x14ac:dyDescent="0.3">
      <c r="B56" s="3" t="s">
        <v>56</v>
      </c>
      <c r="C56" s="5" t="s">
        <v>107</v>
      </c>
      <c r="D56" s="5" t="s">
        <v>136</v>
      </c>
      <c r="E56" s="6" t="s">
        <v>137</v>
      </c>
      <c r="F56" s="3" t="s">
        <v>22</v>
      </c>
      <c r="G56" s="3">
        <v>0</v>
      </c>
      <c r="H56" s="3">
        <v>10.199999999999999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10.199999999999999</v>
      </c>
      <c r="Y56" s="3" t="s">
        <v>40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36.9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36.9</v>
      </c>
    </row>
    <row r="57" spans="2:49" x14ac:dyDescent="0.3">
      <c r="B57" s="3" t="s">
        <v>56</v>
      </c>
      <c r="C57" s="5" t="s">
        <v>107</v>
      </c>
      <c r="D57" s="5" t="s">
        <v>138</v>
      </c>
      <c r="E57" s="6" t="s">
        <v>139</v>
      </c>
      <c r="F57" s="3" t="s">
        <v>22</v>
      </c>
      <c r="G57" s="3">
        <v>0</v>
      </c>
      <c r="H57" s="3">
        <v>10.199999999999999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10.199999999999999</v>
      </c>
      <c r="Y57" s="3" t="s">
        <v>40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36.9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36.9</v>
      </c>
    </row>
    <row r="58" spans="2:49" x14ac:dyDescent="0.3">
      <c r="B58" s="3" t="s">
        <v>56</v>
      </c>
      <c r="C58" s="5" t="s">
        <v>107</v>
      </c>
      <c r="D58" s="5" t="s">
        <v>140</v>
      </c>
      <c r="E58" s="6" t="s">
        <v>141</v>
      </c>
      <c r="F58" s="3" t="s">
        <v>22</v>
      </c>
      <c r="G58" s="3">
        <v>0</v>
      </c>
      <c r="H58" s="3">
        <v>10.199999999999999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10.199999999999999</v>
      </c>
      <c r="Y58" s="3" t="s">
        <v>41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36.9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59.75</v>
      </c>
      <c r="AS58" s="3">
        <v>0</v>
      </c>
      <c r="AT58" s="3">
        <v>0</v>
      </c>
      <c r="AU58" s="3">
        <v>0</v>
      </c>
      <c r="AV58" s="3">
        <v>0</v>
      </c>
      <c r="AW58" s="3">
        <v>96.65</v>
      </c>
    </row>
    <row r="59" spans="2:49" x14ac:dyDescent="0.3">
      <c r="B59" s="3" t="s">
        <v>56</v>
      </c>
      <c r="C59" s="5" t="s">
        <v>107</v>
      </c>
      <c r="D59" s="5" t="s">
        <v>142</v>
      </c>
      <c r="E59" s="6" t="s">
        <v>143</v>
      </c>
      <c r="F59" s="3" t="s">
        <v>22</v>
      </c>
      <c r="G59" s="3">
        <v>0</v>
      </c>
      <c r="H59" s="3">
        <v>10.199999999999999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10.199999999999999</v>
      </c>
      <c r="Y59" s="3" t="s">
        <v>40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36.9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36.9</v>
      </c>
    </row>
    <row r="60" spans="2:49" x14ac:dyDescent="0.3">
      <c r="B60" s="3" t="s">
        <v>56</v>
      </c>
      <c r="C60" s="5" t="s">
        <v>107</v>
      </c>
      <c r="D60" s="5" t="s">
        <v>144</v>
      </c>
      <c r="E60" s="6" t="s">
        <v>145</v>
      </c>
      <c r="F60" s="3" t="s">
        <v>22</v>
      </c>
      <c r="G60" s="3">
        <v>0</v>
      </c>
      <c r="H60" s="3">
        <v>10.199999999999999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10.199999999999999</v>
      </c>
      <c r="Y60" s="3" t="s">
        <v>40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36.9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36.9</v>
      </c>
    </row>
    <row r="61" spans="2:49" x14ac:dyDescent="0.3">
      <c r="B61" s="3" t="s">
        <v>58</v>
      </c>
      <c r="C61" s="5" t="s">
        <v>146</v>
      </c>
      <c r="D61" s="5" t="s">
        <v>147</v>
      </c>
      <c r="E61" s="6" t="s">
        <v>148</v>
      </c>
      <c r="F61" s="3" t="s">
        <v>19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 t="s">
        <v>41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36.9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59.75</v>
      </c>
      <c r="AS61" s="3">
        <v>0</v>
      </c>
      <c r="AT61" s="3">
        <v>0</v>
      </c>
      <c r="AU61" s="3">
        <v>0</v>
      </c>
      <c r="AV61" s="3">
        <v>0</v>
      </c>
      <c r="AW61" s="3">
        <v>96.65</v>
      </c>
    </row>
    <row r="62" spans="2:49" x14ac:dyDescent="0.3">
      <c r="B62" s="3" t="s">
        <v>58</v>
      </c>
      <c r="C62" s="5" t="s">
        <v>149</v>
      </c>
      <c r="D62" s="5" t="s">
        <v>150</v>
      </c>
      <c r="E62" s="6" t="s">
        <v>151</v>
      </c>
      <c r="F62" s="3" t="s">
        <v>19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33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</row>
    <row r="63" spans="2:49" x14ac:dyDescent="0.3">
      <c r="B63" s="3" t="s">
        <v>58</v>
      </c>
      <c r="C63" s="5" t="s">
        <v>152</v>
      </c>
      <c r="D63" s="5" t="s">
        <v>153</v>
      </c>
      <c r="E63" s="6" t="s">
        <v>154</v>
      </c>
      <c r="F63" s="3" t="s">
        <v>19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 t="s">
        <v>42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36.9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36.9</v>
      </c>
    </row>
    <row r="64" spans="2:49" x14ac:dyDescent="0.3">
      <c r="B64" s="3" t="s">
        <v>58</v>
      </c>
      <c r="C64" s="5" t="s">
        <v>155</v>
      </c>
      <c r="D64" s="5" t="s">
        <v>156</v>
      </c>
      <c r="E64" s="6" t="s">
        <v>157</v>
      </c>
      <c r="F64" s="3" t="s">
        <v>19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 t="s">
        <v>41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36.9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59.75</v>
      </c>
      <c r="AS64" s="3">
        <v>0</v>
      </c>
      <c r="AT64" s="3">
        <v>0</v>
      </c>
      <c r="AU64" s="3">
        <v>0</v>
      </c>
      <c r="AV64" s="3">
        <v>0</v>
      </c>
      <c r="AW64" s="3">
        <v>96.65</v>
      </c>
    </row>
    <row r="65" spans="2:49" x14ac:dyDescent="0.3">
      <c r="B65" s="3" t="s">
        <v>58</v>
      </c>
      <c r="C65" s="5" t="s">
        <v>158</v>
      </c>
      <c r="D65" s="5" t="s">
        <v>159</v>
      </c>
      <c r="E65" s="6" t="s">
        <v>160</v>
      </c>
      <c r="F65" s="3" t="s">
        <v>19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 t="s">
        <v>41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36.9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59.75</v>
      </c>
      <c r="AS65" s="3">
        <v>0</v>
      </c>
      <c r="AT65" s="3">
        <v>0</v>
      </c>
      <c r="AU65" s="3">
        <v>0</v>
      </c>
      <c r="AV65" s="3">
        <v>0</v>
      </c>
      <c r="AW65" s="3">
        <v>96.65</v>
      </c>
    </row>
    <row r="66" spans="2:49" x14ac:dyDescent="0.3">
      <c r="B66" s="3" t="s">
        <v>58</v>
      </c>
      <c r="C66" s="5" t="s">
        <v>158</v>
      </c>
      <c r="D66" s="5" t="s">
        <v>161</v>
      </c>
      <c r="E66" s="6" t="s">
        <v>162</v>
      </c>
      <c r="F66" s="3" t="s">
        <v>19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 t="s">
        <v>41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36.9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59.75</v>
      </c>
      <c r="AS66" s="3">
        <v>0</v>
      </c>
      <c r="AT66" s="3">
        <v>0</v>
      </c>
      <c r="AU66" s="3">
        <v>0</v>
      </c>
      <c r="AV66" s="3">
        <v>0</v>
      </c>
      <c r="AW66" s="3">
        <v>96.65</v>
      </c>
    </row>
    <row r="67" spans="2:49" x14ac:dyDescent="0.3">
      <c r="B67" s="3" t="s">
        <v>58</v>
      </c>
      <c r="C67" s="5" t="s">
        <v>163</v>
      </c>
      <c r="D67" s="5" t="s">
        <v>164</v>
      </c>
      <c r="E67" s="6" t="s">
        <v>165</v>
      </c>
      <c r="F67" s="3" t="s">
        <v>19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 t="s">
        <v>54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59.75</v>
      </c>
      <c r="AS67" s="3">
        <v>0</v>
      </c>
      <c r="AT67" s="3">
        <v>0</v>
      </c>
      <c r="AU67" s="3">
        <v>0</v>
      </c>
      <c r="AV67" s="3">
        <v>0</v>
      </c>
      <c r="AW67" s="3">
        <v>59.75</v>
      </c>
    </row>
    <row r="68" spans="2:49" x14ac:dyDescent="0.3">
      <c r="B68" s="3" t="s">
        <v>55</v>
      </c>
      <c r="C68" s="5" t="s">
        <v>166</v>
      </c>
      <c r="D68" s="5" t="s">
        <v>167</v>
      </c>
      <c r="E68" s="6" t="s">
        <v>168</v>
      </c>
      <c r="F68" s="3" t="s">
        <v>20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84.9</v>
      </c>
      <c r="V68" s="3">
        <v>0</v>
      </c>
      <c r="W68" s="3">
        <v>0</v>
      </c>
      <c r="X68" s="3">
        <v>84.9</v>
      </c>
      <c r="Y68" s="3" t="s">
        <v>33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</row>
    <row r="69" spans="2:49" x14ac:dyDescent="0.3">
      <c r="B69" s="3" t="s">
        <v>55</v>
      </c>
      <c r="C69" s="5" t="s">
        <v>169</v>
      </c>
      <c r="D69" s="5" t="s">
        <v>170</v>
      </c>
      <c r="E69" s="6" t="s">
        <v>171</v>
      </c>
      <c r="F69" s="3" t="s">
        <v>20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84.9</v>
      </c>
      <c r="V69" s="3">
        <v>0</v>
      </c>
      <c r="W69" s="3">
        <v>0</v>
      </c>
      <c r="X69" s="3">
        <v>84.9</v>
      </c>
      <c r="Y69" s="3" t="s">
        <v>33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</row>
    <row r="70" spans="2:49" x14ac:dyDescent="0.3">
      <c r="B70" s="3" t="s">
        <v>55</v>
      </c>
      <c r="C70" s="5" t="s">
        <v>169</v>
      </c>
      <c r="D70" s="5" t="s">
        <v>172</v>
      </c>
      <c r="E70" s="6" t="s">
        <v>173</v>
      </c>
      <c r="F70" s="3" t="s">
        <v>20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84.9</v>
      </c>
      <c r="V70" s="3">
        <v>0</v>
      </c>
      <c r="W70" s="3">
        <v>0</v>
      </c>
      <c r="X70" s="3">
        <v>84.9</v>
      </c>
      <c r="Y70" s="3" t="s">
        <v>33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</row>
    <row r="71" spans="2:49" x14ac:dyDescent="0.3">
      <c r="B71" s="3" t="s">
        <v>55</v>
      </c>
      <c r="C71" s="5" t="s">
        <v>169</v>
      </c>
      <c r="D71" s="5" t="s">
        <v>174</v>
      </c>
      <c r="E71" s="6" t="s">
        <v>175</v>
      </c>
      <c r="F71" s="3" t="s">
        <v>20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84.9</v>
      </c>
      <c r="V71" s="3">
        <v>0</v>
      </c>
      <c r="W71" s="3">
        <v>0</v>
      </c>
      <c r="X71" s="3">
        <v>84.9</v>
      </c>
      <c r="Y71" s="3" t="s">
        <v>33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</row>
    <row r="72" spans="2:49" x14ac:dyDescent="0.3">
      <c r="B72" s="3" t="s">
        <v>55</v>
      </c>
      <c r="C72" s="5" t="s">
        <v>169</v>
      </c>
      <c r="D72" s="5" t="s">
        <v>174</v>
      </c>
      <c r="E72" s="6" t="s">
        <v>175</v>
      </c>
      <c r="F72" s="3" t="s">
        <v>20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84.9</v>
      </c>
      <c r="V72" s="3">
        <v>0</v>
      </c>
      <c r="W72" s="3">
        <v>0</v>
      </c>
      <c r="X72" s="3">
        <v>84.9</v>
      </c>
      <c r="Y72" s="3" t="s">
        <v>33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</row>
    <row r="73" spans="2:49" x14ac:dyDescent="0.3">
      <c r="B73" s="3" t="s">
        <v>55</v>
      </c>
      <c r="C73" s="5" t="s">
        <v>169</v>
      </c>
      <c r="D73" s="5" t="s">
        <v>174</v>
      </c>
      <c r="E73" s="6" t="s">
        <v>176</v>
      </c>
      <c r="F73" s="3" t="s">
        <v>20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84.9</v>
      </c>
      <c r="V73" s="3">
        <v>0</v>
      </c>
      <c r="W73" s="3">
        <v>0</v>
      </c>
      <c r="X73" s="3">
        <v>84.9</v>
      </c>
      <c r="Y73" s="3" t="s">
        <v>33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</row>
    <row r="74" spans="2:49" x14ac:dyDescent="0.3">
      <c r="B74" s="3" t="s">
        <v>55</v>
      </c>
      <c r="C74" s="5" t="s">
        <v>169</v>
      </c>
      <c r="D74" s="5" t="s">
        <v>174</v>
      </c>
      <c r="E74" s="6" t="s">
        <v>177</v>
      </c>
      <c r="F74" s="3" t="s">
        <v>20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84.9</v>
      </c>
      <c r="V74" s="3">
        <v>0</v>
      </c>
      <c r="W74" s="3">
        <v>0</v>
      </c>
      <c r="X74" s="3">
        <v>84.9</v>
      </c>
      <c r="Y74" s="3" t="s">
        <v>33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</row>
    <row r="75" spans="2:49" x14ac:dyDescent="0.3">
      <c r="B75" s="3" t="s">
        <v>55</v>
      </c>
      <c r="C75" s="5" t="s">
        <v>169</v>
      </c>
      <c r="D75" s="5" t="s">
        <v>174</v>
      </c>
      <c r="E75" s="6" t="s">
        <v>177</v>
      </c>
      <c r="F75" s="3" t="s">
        <v>20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84.9</v>
      </c>
      <c r="V75" s="3">
        <v>0</v>
      </c>
      <c r="W75" s="3">
        <v>0</v>
      </c>
      <c r="X75" s="3">
        <v>84.9</v>
      </c>
      <c r="Y75" s="3" t="s">
        <v>33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</row>
    <row r="76" spans="2:49" x14ac:dyDescent="0.3">
      <c r="B76" s="3" t="s">
        <v>55</v>
      </c>
      <c r="C76" s="5" t="s">
        <v>169</v>
      </c>
      <c r="D76" s="5" t="s">
        <v>174</v>
      </c>
      <c r="E76" s="6" t="s">
        <v>178</v>
      </c>
      <c r="F76" s="3" t="s">
        <v>20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84.9</v>
      </c>
      <c r="V76" s="3">
        <v>0</v>
      </c>
      <c r="W76" s="3">
        <v>0</v>
      </c>
      <c r="X76" s="3">
        <v>84.9</v>
      </c>
      <c r="Y76" s="3" t="s">
        <v>33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</row>
    <row r="77" spans="2:49" x14ac:dyDescent="0.3">
      <c r="B77" s="3" t="s">
        <v>55</v>
      </c>
      <c r="C77" s="5" t="s">
        <v>169</v>
      </c>
      <c r="D77" s="5" t="s">
        <v>179</v>
      </c>
      <c r="E77" s="6" t="s">
        <v>180</v>
      </c>
      <c r="F77" s="3" t="s">
        <v>20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84.9</v>
      </c>
      <c r="V77" s="3">
        <v>0</v>
      </c>
      <c r="W77" s="3">
        <v>0</v>
      </c>
      <c r="X77" s="3">
        <v>84.9</v>
      </c>
      <c r="Y77" s="3" t="s">
        <v>33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</row>
    <row r="78" spans="2:49" x14ac:dyDescent="0.3">
      <c r="B78" s="3" t="s">
        <v>55</v>
      </c>
      <c r="C78" s="5" t="s">
        <v>181</v>
      </c>
      <c r="D78" s="5" t="s">
        <v>182</v>
      </c>
      <c r="E78" s="6" t="s">
        <v>183</v>
      </c>
      <c r="F78" s="3" t="s">
        <v>20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84.9</v>
      </c>
      <c r="V78" s="3">
        <v>0</v>
      </c>
      <c r="W78" s="3">
        <v>0</v>
      </c>
      <c r="X78" s="3">
        <v>84.9</v>
      </c>
      <c r="Y78" s="3" t="s">
        <v>33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</row>
    <row r="79" spans="2:49" x14ac:dyDescent="0.3">
      <c r="B79" s="3" t="s">
        <v>55</v>
      </c>
      <c r="C79" s="5" t="s">
        <v>181</v>
      </c>
      <c r="D79" s="5" t="s">
        <v>182</v>
      </c>
      <c r="E79" s="6" t="s">
        <v>184</v>
      </c>
      <c r="F79" s="3" t="s">
        <v>20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84.9</v>
      </c>
      <c r="V79" s="3">
        <v>0</v>
      </c>
      <c r="W79" s="3">
        <v>0</v>
      </c>
      <c r="X79" s="3">
        <v>84.9</v>
      </c>
      <c r="Y79" s="3" t="s">
        <v>33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</row>
    <row r="80" spans="2:49" x14ac:dyDescent="0.3">
      <c r="B80" s="3" t="s">
        <v>55</v>
      </c>
      <c r="C80" s="5" t="s">
        <v>181</v>
      </c>
      <c r="D80" s="5" t="s">
        <v>185</v>
      </c>
      <c r="E80" s="6" t="s">
        <v>186</v>
      </c>
      <c r="F80" s="3" t="s">
        <v>20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84.9</v>
      </c>
      <c r="V80" s="3">
        <v>0</v>
      </c>
      <c r="W80" s="3">
        <v>0</v>
      </c>
      <c r="X80" s="3">
        <v>84.9</v>
      </c>
      <c r="Y80" s="3" t="s">
        <v>33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</row>
    <row r="81" spans="2:49" x14ac:dyDescent="0.3">
      <c r="B81" s="3" t="s">
        <v>55</v>
      </c>
      <c r="C81" s="5" t="s">
        <v>181</v>
      </c>
      <c r="D81" s="5" t="s">
        <v>185</v>
      </c>
      <c r="E81" s="6" t="s">
        <v>186</v>
      </c>
      <c r="F81" s="3" t="s">
        <v>20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84.9</v>
      </c>
      <c r="V81" s="3">
        <v>0</v>
      </c>
      <c r="W81" s="3">
        <v>0</v>
      </c>
      <c r="X81" s="3">
        <v>84.9</v>
      </c>
      <c r="Y81" s="3" t="s">
        <v>33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</row>
    <row r="82" spans="2:49" x14ac:dyDescent="0.3">
      <c r="B82" s="3" t="s">
        <v>55</v>
      </c>
      <c r="C82" s="5" t="s">
        <v>181</v>
      </c>
      <c r="D82" s="5" t="s">
        <v>185</v>
      </c>
      <c r="E82" s="6" t="s">
        <v>187</v>
      </c>
      <c r="F82" s="3" t="s">
        <v>20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84.9</v>
      </c>
      <c r="V82" s="3">
        <v>0</v>
      </c>
      <c r="W82" s="3">
        <v>0</v>
      </c>
      <c r="X82" s="3">
        <v>84.9</v>
      </c>
      <c r="Y82" s="3" t="s">
        <v>33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</row>
    <row r="83" spans="2:49" x14ac:dyDescent="0.3">
      <c r="B83" s="3" t="s">
        <v>55</v>
      </c>
      <c r="C83" s="5" t="s">
        <v>181</v>
      </c>
      <c r="D83" s="5" t="s">
        <v>182</v>
      </c>
      <c r="E83" s="6" t="s">
        <v>188</v>
      </c>
      <c r="F83" s="3" t="s">
        <v>20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84.9</v>
      </c>
      <c r="V83" s="3">
        <v>0</v>
      </c>
      <c r="W83" s="3">
        <v>0</v>
      </c>
      <c r="X83" s="3">
        <v>84.9</v>
      </c>
      <c r="Y83" s="3" t="s">
        <v>33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</row>
    <row r="84" spans="2:49" x14ac:dyDescent="0.3">
      <c r="B84" s="3" t="s">
        <v>55</v>
      </c>
      <c r="C84" s="5" t="s">
        <v>181</v>
      </c>
      <c r="D84" s="5" t="s">
        <v>189</v>
      </c>
      <c r="E84" s="6" t="s">
        <v>190</v>
      </c>
      <c r="F84" s="3" t="s">
        <v>20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84.9</v>
      </c>
      <c r="V84" s="3">
        <v>0</v>
      </c>
      <c r="W84" s="3">
        <v>0</v>
      </c>
      <c r="X84" s="3">
        <v>84.9</v>
      </c>
      <c r="Y84" s="3" t="s">
        <v>33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</row>
    <row r="85" spans="2:49" x14ac:dyDescent="0.3">
      <c r="B85" s="3" t="s">
        <v>55</v>
      </c>
      <c r="C85" s="5" t="s">
        <v>181</v>
      </c>
      <c r="D85" s="5" t="s">
        <v>189</v>
      </c>
      <c r="E85" s="6" t="s">
        <v>191</v>
      </c>
      <c r="F85" s="3" t="s">
        <v>20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84.9</v>
      </c>
      <c r="V85" s="3">
        <v>0</v>
      </c>
      <c r="W85" s="3">
        <v>0</v>
      </c>
      <c r="X85" s="3">
        <v>84.9</v>
      </c>
      <c r="Y85" s="3" t="s">
        <v>33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</row>
    <row r="86" spans="2:49" x14ac:dyDescent="0.3">
      <c r="B86" s="3" t="s">
        <v>55</v>
      </c>
      <c r="C86" s="5" t="s">
        <v>181</v>
      </c>
      <c r="D86" s="5" t="s">
        <v>185</v>
      </c>
      <c r="E86" s="6" t="s">
        <v>192</v>
      </c>
      <c r="F86" s="3" t="s">
        <v>20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84.9</v>
      </c>
      <c r="V86" s="3">
        <v>0</v>
      </c>
      <c r="W86" s="3">
        <v>0</v>
      </c>
      <c r="X86" s="3">
        <v>84.9</v>
      </c>
      <c r="Y86" s="3" t="s">
        <v>33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</row>
    <row r="87" spans="2:49" x14ac:dyDescent="0.3">
      <c r="B87" s="3" t="s">
        <v>55</v>
      </c>
      <c r="C87" s="5" t="s">
        <v>181</v>
      </c>
      <c r="D87" s="5" t="s">
        <v>182</v>
      </c>
      <c r="E87" s="6" t="s">
        <v>193</v>
      </c>
      <c r="F87" s="3" t="s">
        <v>20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84.9</v>
      </c>
      <c r="V87" s="3">
        <v>0</v>
      </c>
      <c r="W87" s="3">
        <v>0</v>
      </c>
      <c r="X87" s="3">
        <v>84.9</v>
      </c>
      <c r="Y87" s="3" t="s">
        <v>33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</row>
    <row r="88" spans="2:49" x14ac:dyDescent="0.3">
      <c r="B88" s="3" t="s">
        <v>55</v>
      </c>
      <c r="C88" s="5" t="s">
        <v>181</v>
      </c>
      <c r="D88" s="5" t="s">
        <v>194</v>
      </c>
      <c r="E88" s="6" t="s">
        <v>195</v>
      </c>
      <c r="F88" s="3" t="s">
        <v>20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84.9</v>
      </c>
      <c r="V88" s="3">
        <v>0</v>
      </c>
      <c r="W88" s="3">
        <v>0</v>
      </c>
      <c r="X88" s="3">
        <v>84.9</v>
      </c>
      <c r="Y88" s="3" t="s">
        <v>33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</row>
    <row r="89" spans="2:49" x14ac:dyDescent="0.3">
      <c r="B89" s="3" t="s">
        <v>55</v>
      </c>
      <c r="C89" s="5" t="s">
        <v>196</v>
      </c>
      <c r="D89" s="5" t="s">
        <v>197</v>
      </c>
      <c r="E89" s="6" t="s">
        <v>198</v>
      </c>
      <c r="F89" s="3" t="s">
        <v>20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84.9</v>
      </c>
      <c r="V89" s="3">
        <v>0</v>
      </c>
      <c r="W89" s="3">
        <v>0</v>
      </c>
      <c r="X89" s="3">
        <v>84.9</v>
      </c>
      <c r="Y89" s="3" t="s">
        <v>33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</row>
    <row r="90" spans="2:49" x14ac:dyDescent="0.3">
      <c r="B90" s="3" t="s">
        <v>55</v>
      </c>
      <c r="C90" s="5" t="s">
        <v>196</v>
      </c>
      <c r="D90" s="5" t="s">
        <v>199</v>
      </c>
      <c r="E90" s="6" t="s">
        <v>200</v>
      </c>
      <c r="F90" s="3" t="s">
        <v>20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84.9</v>
      </c>
      <c r="V90" s="3">
        <v>0</v>
      </c>
      <c r="W90" s="3">
        <v>0</v>
      </c>
      <c r="X90" s="3">
        <v>84.9</v>
      </c>
      <c r="Y90" s="3" t="s">
        <v>33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</row>
    <row r="91" spans="2:49" x14ac:dyDescent="0.3">
      <c r="B91" s="3" t="s">
        <v>55</v>
      </c>
      <c r="C91" s="5" t="s">
        <v>201</v>
      </c>
      <c r="D91" s="5" t="s">
        <v>202</v>
      </c>
      <c r="E91" s="6" t="s">
        <v>203</v>
      </c>
      <c r="F91" s="3" t="s">
        <v>20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84.9</v>
      </c>
      <c r="V91" s="3">
        <v>0</v>
      </c>
      <c r="W91" s="3">
        <v>0</v>
      </c>
      <c r="X91" s="3">
        <v>84.9</v>
      </c>
      <c r="Y91" s="3" t="s">
        <v>33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</row>
    <row r="92" spans="2:49" x14ac:dyDescent="0.3">
      <c r="B92" s="3" t="s">
        <v>55</v>
      </c>
      <c r="C92" s="5" t="s">
        <v>201</v>
      </c>
      <c r="D92" s="5" t="s">
        <v>202</v>
      </c>
      <c r="E92" s="6" t="s">
        <v>204</v>
      </c>
      <c r="F92" s="3" t="s">
        <v>20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84.9</v>
      </c>
      <c r="V92" s="3">
        <v>0</v>
      </c>
      <c r="W92" s="3">
        <v>0</v>
      </c>
      <c r="X92" s="3">
        <v>84.9</v>
      </c>
      <c r="Y92" s="3" t="s">
        <v>33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</row>
    <row r="93" spans="2:49" x14ac:dyDescent="0.3">
      <c r="B93" s="3" t="s">
        <v>55</v>
      </c>
      <c r="C93" s="5" t="s">
        <v>205</v>
      </c>
      <c r="D93" s="5" t="s">
        <v>206</v>
      </c>
      <c r="E93" s="6" t="s">
        <v>207</v>
      </c>
      <c r="F93" s="3" t="s">
        <v>20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84.9</v>
      </c>
      <c r="V93" s="3">
        <v>0</v>
      </c>
      <c r="W93" s="3">
        <v>0</v>
      </c>
      <c r="X93" s="3">
        <v>84.9</v>
      </c>
      <c r="Y93" s="3" t="s">
        <v>33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</row>
    <row r="94" spans="2:49" x14ac:dyDescent="0.3">
      <c r="B94" s="3" t="s">
        <v>55</v>
      </c>
      <c r="C94" s="5" t="s">
        <v>205</v>
      </c>
      <c r="D94" s="5" t="s">
        <v>208</v>
      </c>
      <c r="E94" s="6" t="s">
        <v>209</v>
      </c>
      <c r="F94" s="3" t="s">
        <v>20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84.9</v>
      </c>
      <c r="V94" s="3">
        <v>0</v>
      </c>
      <c r="W94" s="3">
        <v>0</v>
      </c>
      <c r="X94" s="3">
        <v>84.9</v>
      </c>
      <c r="Y94" s="3" t="s">
        <v>33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</row>
    <row r="95" spans="2:49" x14ac:dyDescent="0.3">
      <c r="B95" s="3" t="s">
        <v>55</v>
      </c>
      <c r="C95" s="5" t="s">
        <v>205</v>
      </c>
      <c r="D95" s="5" t="s">
        <v>210</v>
      </c>
      <c r="E95" s="6" t="s">
        <v>211</v>
      </c>
      <c r="F95" s="3" t="s">
        <v>20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84.9</v>
      </c>
      <c r="V95" s="3">
        <v>0</v>
      </c>
      <c r="W95" s="3">
        <v>0</v>
      </c>
      <c r="X95" s="3">
        <v>84.9</v>
      </c>
      <c r="Y95" s="3" t="s">
        <v>33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</row>
    <row r="96" spans="2:49" x14ac:dyDescent="0.3">
      <c r="B96" s="3" t="s">
        <v>55</v>
      </c>
      <c r="C96" s="5" t="s">
        <v>205</v>
      </c>
      <c r="D96" s="5" t="s">
        <v>212</v>
      </c>
      <c r="E96" s="6" t="s">
        <v>213</v>
      </c>
      <c r="F96" s="3" t="s">
        <v>20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84.9</v>
      </c>
      <c r="V96" s="3">
        <v>0</v>
      </c>
      <c r="W96" s="3">
        <v>0</v>
      </c>
      <c r="X96" s="3">
        <v>84.9</v>
      </c>
      <c r="Y96" s="3" t="s">
        <v>33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</row>
    <row r="97" spans="2:49" x14ac:dyDescent="0.3">
      <c r="B97" s="3" t="s">
        <v>55</v>
      </c>
      <c r="C97" s="5" t="s">
        <v>205</v>
      </c>
      <c r="D97" s="5" t="s">
        <v>212</v>
      </c>
      <c r="E97" s="6" t="s">
        <v>214</v>
      </c>
      <c r="F97" s="3" t="s">
        <v>20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84.9</v>
      </c>
      <c r="V97" s="3">
        <v>0</v>
      </c>
      <c r="W97" s="3">
        <v>0</v>
      </c>
      <c r="X97" s="3">
        <v>84.9</v>
      </c>
      <c r="Y97" s="3" t="s">
        <v>33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</row>
    <row r="98" spans="2:49" x14ac:dyDescent="0.3">
      <c r="B98" s="3" t="s">
        <v>55</v>
      </c>
      <c r="C98" s="5" t="s">
        <v>205</v>
      </c>
      <c r="D98" s="5" t="s">
        <v>215</v>
      </c>
      <c r="E98" s="6" t="s">
        <v>216</v>
      </c>
      <c r="F98" s="3" t="s">
        <v>20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84.9</v>
      </c>
      <c r="V98" s="3">
        <v>0</v>
      </c>
      <c r="W98" s="3">
        <v>0</v>
      </c>
      <c r="X98" s="3">
        <v>84.9</v>
      </c>
      <c r="Y98" s="3" t="s">
        <v>33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</row>
    <row r="99" spans="2:49" x14ac:dyDescent="0.3">
      <c r="B99" s="3" t="s">
        <v>55</v>
      </c>
      <c r="C99" s="5" t="s">
        <v>205</v>
      </c>
      <c r="D99" s="5" t="s">
        <v>215</v>
      </c>
      <c r="E99" s="6" t="s">
        <v>217</v>
      </c>
      <c r="F99" s="3" t="s">
        <v>20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84.9</v>
      </c>
      <c r="V99" s="3">
        <v>0</v>
      </c>
      <c r="W99" s="3">
        <v>0</v>
      </c>
      <c r="X99" s="3">
        <v>84.9</v>
      </c>
      <c r="Y99" s="3" t="s">
        <v>33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</row>
    <row r="100" spans="2:49" x14ac:dyDescent="0.3">
      <c r="B100" s="3" t="s">
        <v>55</v>
      </c>
      <c r="C100" s="5" t="s">
        <v>205</v>
      </c>
      <c r="D100" s="5" t="s">
        <v>218</v>
      </c>
      <c r="E100" s="6" t="s">
        <v>219</v>
      </c>
      <c r="F100" s="3" t="s">
        <v>20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84.9</v>
      </c>
      <c r="V100" s="3">
        <v>0</v>
      </c>
      <c r="W100" s="3">
        <v>0</v>
      </c>
      <c r="X100" s="3">
        <v>84.9</v>
      </c>
      <c r="Y100" s="3" t="s">
        <v>33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</row>
    <row r="101" spans="2:49" x14ac:dyDescent="0.3">
      <c r="B101" s="3" t="s">
        <v>55</v>
      </c>
      <c r="C101" s="5" t="s">
        <v>205</v>
      </c>
      <c r="D101" s="5" t="s">
        <v>218</v>
      </c>
      <c r="E101" s="6" t="s">
        <v>219</v>
      </c>
      <c r="F101" s="3" t="s">
        <v>20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84.9</v>
      </c>
      <c r="V101" s="3">
        <v>0</v>
      </c>
      <c r="W101" s="3">
        <v>0</v>
      </c>
      <c r="X101" s="3">
        <v>84.9</v>
      </c>
      <c r="Y101" s="3" t="s">
        <v>33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</row>
    <row r="102" spans="2:49" x14ac:dyDescent="0.3">
      <c r="B102" s="3" t="s">
        <v>55</v>
      </c>
      <c r="C102" s="5" t="s">
        <v>205</v>
      </c>
      <c r="D102" s="5" t="s">
        <v>218</v>
      </c>
      <c r="E102" s="6" t="s">
        <v>219</v>
      </c>
      <c r="F102" s="3" t="s">
        <v>20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84.9</v>
      </c>
      <c r="V102" s="3">
        <v>0</v>
      </c>
      <c r="W102" s="3">
        <v>0</v>
      </c>
      <c r="X102" s="3">
        <v>84.9</v>
      </c>
      <c r="Y102" s="3" t="s">
        <v>33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</row>
    <row r="103" spans="2:49" x14ac:dyDescent="0.3">
      <c r="B103" s="3" t="s">
        <v>55</v>
      </c>
      <c r="C103" s="5" t="s">
        <v>205</v>
      </c>
      <c r="D103" s="5" t="s">
        <v>218</v>
      </c>
      <c r="E103" s="6" t="s">
        <v>219</v>
      </c>
      <c r="F103" s="3" t="s">
        <v>20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84.9</v>
      </c>
      <c r="V103" s="3">
        <v>0</v>
      </c>
      <c r="W103" s="3">
        <v>0</v>
      </c>
      <c r="X103" s="3">
        <v>84.9</v>
      </c>
      <c r="Y103" s="3" t="s">
        <v>33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</row>
    <row r="104" spans="2:49" x14ac:dyDescent="0.3">
      <c r="B104" s="3" t="s">
        <v>55</v>
      </c>
      <c r="C104" s="5" t="s">
        <v>205</v>
      </c>
      <c r="D104" s="5" t="s">
        <v>218</v>
      </c>
      <c r="E104" s="6" t="s">
        <v>220</v>
      </c>
      <c r="F104" s="3" t="s">
        <v>20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84.9</v>
      </c>
      <c r="V104" s="3">
        <v>0</v>
      </c>
      <c r="W104" s="3">
        <v>0</v>
      </c>
      <c r="X104" s="3">
        <v>84.9</v>
      </c>
      <c r="Y104" s="3" t="s">
        <v>33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</row>
    <row r="105" spans="2:49" x14ac:dyDescent="0.3">
      <c r="B105" s="3" t="s">
        <v>55</v>
      </c>
      <c r="C105" s="5" t="s">
        <v>205</v>
      </c>
      <c r="D105" s="5" t="s">
        <v>218</v>
      </c>
      <c r="E105" s="6" t="s">
        <v>220</v>
      </c>
      <c r="F105" s="3" t="s">
        <v>20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84.9</v>
      </c>
      <c r="V105" s="3">
        <v>0</v>
      </c>
      <c r="W105" s="3">
        <v>0</v>
      </c>
      <c r="X105" s="3">
        <v>84.9</v>
      </c>
      <c r="Y105" s="3" t="s">
        <v>33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</row>
    <row r="106" spans="2:49" x14ac:dyDescent="0.3">
      <c r="B106" s="3" t="s">
        <v>55</v>
      </c>
      <c r="C106" s="5" t="s">
        <v>205</v>
      </c>
      <c r="D106" s="5" t="s">
        <v>218</v>
      </c>
      <c r="E106" s="6" t="s">
        <v>220</v>
      </c>
      <c r="F106" s="3" t="s">
        <v>20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84.9</v>
      </c>
      <c r="V106" s="3">
        <v>0</v>
      </c>
      <c r="W106" s="3">
        <v>0</v>
      </c>
      <c r="X106" s="3">
        <v>84.9</v>
      </c>
      <c r="Y106" s="3" t="s">
        <v>33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</row>
    <row r="107" spans="2:49" x14ac:dyDescent="0.3">
      <c r="B107" s="3" t="s">
        <v>55</v>
      </c>
      <c r="C107" s="3" t="s">
        <v>205</v>
      </c>
      <c r="D107" s="3" t="s">
        <v>269</v>
      </c>
      <c r="E107" s="7" t="s">
        <v>270</v>
      </c>
      <c r="F107" s="3" t="s">
        <v>20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84.9</v>
      </c>
      <c r="V107" s="3">
        <v>0</v>
      </c>
      <c r="W107" s="3">
        <v>0</v>
      </c>
      <c r="X107" s="3">
        <v>84.9</v>
      </c>
      <c r="Y107" s="3" t="s">
        <v>33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</row>
    <row r="108" spans="2:49" x14ac:dyDescent="0.3">
      <c r="B108" s="3" t="s">
        <v>55</v>
      </c>
      <c r="C108" s="3" t="s">
        <v>205</v>
      </c>
      <c r="D108" s="3" t="s">
        <v>221</v>
      </c>
      <c r="E108" s="7" t="s">
        <v>222</v>
      </c>
      <c r="F108" s="3" t="s">
        <v>20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84.9</v>
      </c>
      <c r="V108" s="3">
        <v>0</v>
      </c>
      <c r="W108" s="3">
        <v>0</v>
      </c>
      <c r="X108" s="3">
        <v>84.9</v>
      </c>
      <c r="Y108" s="3" t="s">
        <v>33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</row>
    <row r="109" spans="2:49" x14ac:dyDescent="0.3">
      <c r="B109" s="3" t="s">
        <v>55</v>
      </c>
      <c r="C109" s="3" t="s">
        <v>205</v>
      </c>
      <c r="D109" s="3" t="s">
        <v>221</v>
      </c>
      <c r="E109" s="7" t="s">
        <v>222</v>
      </c>
      <c r="F109" s="3" t="s">
        <v>20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84.9</v>
      </c>
      <c r="V109" s="3">
        <v>0</v>
      </c>
      <c r="W109" s="3">
        <v>0</v>
      </c>
      <c r="X109" s="3">
        <v>84.9</v>
      </c>
      <c r="Y109" s="3" t="s">
        <v>33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</row>
    <row r="110" spans="2:49" x14ac:dyDescent="0.3">
      <c r="B110" s="3" t="s">
        <v>55</v>
      </c>
      <c r="C110" s="3" t="s">
        <v>205</v>
      </c>
      <c r="D110" s="3" t="s">
        <v>215</v>
      </c>
      <c r="E110" s="7" t="s">
        <v>271</v>
      </c>
      <c r="F110" s="3" t="s">
        <v>20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84.9</v>
      </c>
      <c r="V110" s="3">
        <v>0</v>
      </c>
      <c r="W110" s="3">
        <v>0</v>
      </c>
      <c r="X110" s="3">
        <v>84.9</v>
      </c>
      <c r="Y110" s="3" t="s">
        <v>33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</row>
    <row r="111" spans="2:49" x14ac:dyDescent="0.3">
      <c r="B111" s="3" t="s">
        <v>55</v>
      </c>
      <c r="C111" s="3" t="s">
        <v>205</v>
      </c>
      <c r="D111" s="3" t="s">
        <v>272</v>
      </c>
      <c r="E111" s="7" t="s">
        <v>273</v>
      </c>
      <c r="F111" s="3" t="s">
        <v>20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84.9</v>
      </c>
      <c r="V111" s="3">
        <v>0</v>
      </c>
      <c r="W111" s="3">
        <v>0</v>
      </c>
      <c r="X111" s="3">
        <v>84.9</v>
      </c>
      <c r="Y111" s="3" t="s">
        <v>33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</row>
    <row r="112" spans="2:49" x14ac:dyDescent="0.3">
      <c r="B112" s="3" t="s">
        <v>55</v>
      </c>
      <c r="C112" s="3" t="s">
        <v>205</v>
      </c>
      <c r="D112" s="3" t="s">
        <v>272</v>
      </c>
      <c r="E112" s="7" t="s">
        <v>273</v>
      </c>
      <c r="F112" s="3" t="s">
        <v>20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84.9</v>
      </c>
      <c r="V112" s="3">
        <v>0</v>
      </c>
      <c r="W112" s="3">
        <v>0</v>
      </c>
      <c r="X112" s="3">
        <v>84.9</v>
      </c>
      <c r="Y112" s="3" t="s">
        <v>33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</row>
    <row r="113" spans="2:49" x14ac:dyDescent="0.3">
      <c r="B113" s="3" t="s">
        <v>55</v>
      </c>
      <c r="C113" s="3" t="s">
        <v>205</v>
      </c>
      <c r="D113" s="3" t="s">
        <v>274</v>
      </c>
      <c r="E113" s="7" t="s">
        <v>275</v>
      </c>
      <c r="F113" s="3" t="s">
        <v>20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84.9</v>
      </c>
      <c r="V113" s="3">
        <v>0</v>
      </c>
      <c r="W113" s="3">
        <v>0</v>
      </c>
      <c r="X113" s="3">
        <v>84.9</v>
      </c>
      <c r="Y113" s="3" t="s">
        <v>33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</row>
    <row r="114" spans="2:49" x14ac:dyDescent="0.3">
      <c r="B114" s="3" t="s">
        <v>55</v>
      </c>
      <c r="C114" s="3" t="s">
        <v>205</v>
      </c>
      <c r="D114" s="3" t="s">
        <v>276</v>
      </c>
      <c r="E114" s="7" t="s">
        <v>277</v>
      </c>
      <c r="F114" s="3" t="s">
        <v>20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84.9</v>
      </c>
      <c r="V114" s="3">
        <v>0</v>
      </c>
      <c r="W114" s="3">
        <v>0</v>
      </c>
      <c r="X114" s="3">
        <v>84.9</v>
      </c>
      <c r="Y114" s="3" t="s">
        <v>33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</row>
    <row r="115" spans="2:49" x14ac:dyDescent="0.3">
      <c r="B115" s="3" t="s">
        <v>55</v>
      </c>
      <c r="C115" s="3" t="s">
        <v>205</v>
      </c>
      <c r="D115" s="3" t="s">
        <v>223</v>
      </c>
      <c r="E115" s="7" t="s">
        <v>224</v>
      </c>
      <c r="F115" s="3" t="s">
        <v>20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84.9</v>
      </c>
      <c r="V115" s="3">
        <v>0</v>
      </c>
      <c r="W115" s="3">
        <v>0</v>
      </c>
      <c r="X115" s="3">
        <v>84.9</v>
      </c>
      <c r="Y115" s="3" t="s">
        <v>33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</row>
    <row r="116" spans="2:49" x14ac:dyDescent="0.3">
      <c r="B116" s="3" t="s">
        <v>55</v>
      </c>
      <c r="C116" s="3" t="s">
        <v>205</v>
      </c>
      <c r="D116" s="3" t="s">
        <v>223</v>
      </c>
      <c r="E116" s="7" t="s">
        <v>278</v>
      </c>
      <c r="F116" s="3" t="s">
        <v>20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84.9</v>
      </c>
      <c r="V116" s="3">
        <v>0</v>
      </c>
      <c r="W116" s="3">
        <v>0</v>
      </c>
      <c r="X116" s="3">
        <v>84.9</v>
      </c>
      <c r="Y116" s="3" t="s">
        <v>33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</row>
    <row r="117" spans="2:49" x14ac:dyDescent="0.3">
      <c r="B117" s="3" t="s">
        <v>55</v>
      </c>
      <c r="C117" s="3" t="s">
        <v>225</v>
      </c>
      <c r="D117" s="3" t="s">
        <v>226</v>
      </c>
      <c r="E117" s="7" t="s">
        <v>227</v>
      </c>
      <c r="F117" s="3" t="s">
        <v>20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84.9</v>
      </c>
      <c r="V117" s="3">
        <v>0</v>
      </c>
      <c r="W117" s="3">
        <v>0</v>
      </c>
      <c r="X117" s="3">
        <v>84.9</v>
      </c>
      <c r="Y117" s="3" t="s">
        <v>33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</row>
    <row r="118" spans="2:49" x14ac:dyDescent="0.3">
      <c r="B118" s="3" t="s">
        <v>55</v>
      </c>
      <c r="C118" s="3" t="s">
        <v>228</v>
      </c>
      <c r="D118" s="3" t="s">
        <v>229</v>
      </c>
      <c r="E118" s="7" t="s">
        <v>230</v>
      </c>
      <c r="F118" s="3" t="s">
        <v>20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84.9</v>
      </c>
      <c r="V118" s="3">
        <v>0</v>
      </c>
      <c r="W118" s="3">
        <v>0</v>
      </c>
      <c r="X118" s="3">
        <v>84.9</v>
      </c>
      <c r="Y118" s="3" t="s">
        <v>33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</row>
    <row r="119" spans="2:49" x14ac:dyDescent="0.3">
      <c r="B119" s="3" t="s">
        <v>55</v>
      </c>
      <c r="C119" s="3" t="s">
        <v>228</v>
      </c>
      <c r="D119" s="3" t="s">
        <v>231</v>
      </c>
      <c r="E119" s="7" t="s">
        <v>232</v>
      </c>
      <c r="F119" s="3" t="s">
        <v>20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84.9</v>
      </c>
      <c r="V119" s="3">
        <v>0</v>
      </c>
      <c r="W119" s="3">
        <v>0</v>
      </c>
      <c r="X119" s="3">
        <v>84.9</v>
      </c>
      <c r="Y119" s="3" t="s">
        <v>33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</row>
    <row r="120" spans="2:49" x14ac:dyDescent="0.3">
      <c r="B120" s="3" t="s">
        <v>55</v>
      </c>
      <c r="C120" s="3" t="s">
        <v>228</v>
      </c>
      <c r="D120" s="3" t="s">
        <v>233</v>
      </c>
      <c r="E120" s="7" t="s">
        <v>234</v>
      </c>
      <c r="F120" s="3" t="s">
        <v>20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84.9</v>
      </c>
      <c r="V120" s="3">
        <v>0</v>
      </c>
      <c r="W120" s="3">
        <v>0</v>
      </c>
      <c r="X120" s="3">
        <v>84.9</v>
      </c>
      <c r="Y120" s="3" t="s">
        <v>33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</row>
    <row r="121" spans="2:49" x14ac:dyDescent="0.3">
      <c r="B121" s="3" t="s">
        <v>55</v>
      </c>
      <c r="C121" s="3" t="s">
        <v>235</v>
      </c>
      <c r="D121" s="3" t="s">
        <v>236</v>
      </c>
      <c r="E121" s="7" t="s">
        <v>237</v>
      </c>
      <c r="F121" s="3" t="s">
        <v>20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84.9</v>
      </c>
      <c r="V121" s="3">
        <v>0</v>
      </c>
      <c r="W121" s="3">
        <v>0</v>
      </c>
      <c r="X121" s="3">
        <v>84.9</v>
      </c>
      <c r="Y121" s="3" t="s">
        <v>34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59.75</v>
      </c>
      <c r="AS121" s="3">
        <v>0</v>
      </c>
      <c r="AT121" s="3">
        <v>0</v>
      </c>
      <c r="AU121" s="3">
        <v>0</v>
      </c>
      <c r="AV121" s="3">
        <v>0</v>
      </c>
      <c r="AW121" s="3">
        <v>59.75</v>
      </c>
    </row>
    <row r="122" spans="2:49" x14ac:dyDescent="0.3">
      <c r="B122" s="3" t="s">
        <v>55</v>
      </c>
      <c r="C122" s="3" t="s">
        <v>238</v>
      </c>
      <c r="D122" s="3" t="s">
        <v>239</v>
      </c>
      <c r="E122" s="7" t="s">
        <v>240</v>
      </c>
      <c r="F122" s="3" t="s">
        <v>20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84.9</v>
      </c>
      <c r="V122" s="3">
        <v>0</v>
      </c>
      <c r="W122" s="3">
        <v>0</v>
      </c>
      <c r="X122" s="3">
        <v>84.9</v>
      </c>
      <c r="Y122" s="3" t="s">
        <v>33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</row>
    <row r="123" spans="2:49" x14ac:dyDescent="0.3">
      <c r="B123" s="3" t="s">
        <v>55</v>
      </c>
      <c r="C123" s="3" t="s">
        <v>238</v>
      </c>
      <c r="D123" s="3" t="s">
        <v>239</v>
      </c>
      <c r="E123" s="7" t="s">
        <v>279</v>
      </c>
      <c r="F123" s="3" t="s">
        <v>20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84.9</v>
      </c>
      <c r="V123" s="3">
        <v>0</v>
      </c>
      <c r="W123" s="3">
        <v>0</v>
      </c>
      <c r="X123" s="3">
        <v>84.9</v>
      </c>
      <c r="Y123" s="3" t="s">
        <v>33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</row>
    <row r="124" spans="2:49" x14ac:dyDescent="0.3">
      <c r="B124" s="3" t="s">
        <v>55</v>
      </c>
      <c r="C124" s="3" t="s">
        <v>238</v>
      </c>
      <c r="D124" s="3" t="s">
        <v>239</v>
      </c>
      <c r="E124" s="7" t="s">
        <v>280</v>
      </c>
      <c r="F124" s="3" t="s">
        <v>20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84.9</v>
      </c>
      <c r="V124" s="3">
        <v>0</v>
      </c>
      <c r="W124" s="3">
        <v>0</v>
      </c>
      <c r="X124" s="3">
        <v>84.9</v>
      </c>
      <c r="Y124" s="3" t="s">
        <v>33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</row>
    <row r="125" spans="2:49" x14ac:dyDescent="0.3">
      <c r="B125" s="3" t="s">
        <v>55</v>
      </c>
      <c r="C125" s="3" t="s">
        <v>238</v>
      </c>
      <c r="D125" s="3" t="s">
        <v>241</v>
      </c>
      <c r="E125" s="7" t="s">
        <v>242</v>
      </c>
      <c r="F125" s="3" t="s">
        <v>20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84.9</v>
      </c>
      <c r="V125" s="3">
        <v>0</v>
      </c>
      <c r="W125" s="3">
        <v>0</v>
      </c>
      <c r="X125" s="3">
        <v>84.9</v>
      </c>
      <c r="Y125" s="3" t="s">
        <v>33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</row>
    <row r="126" spans="2:49" x14ac:dyDescent="0.3">
      <c r="B126" s="3" t="s">
        <v>55</v>
      </c>
      <c r="C126" s="3" t="s">
        <v>238</v>
      </c>
      <c r="D126" s="3" t="s">
        <v>241</v>
      </c>
      <c r="E126" s="7" t="s">
        <v>242</v>
      </c>
      <c r="F126" s="3" t="s">
        <v>20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84.9</v>
      </c>
      <c r="V126" s="3">
        <v>0</v>
      </c>
      <c r="W126" s="3">
        <v>0</v>
      </c>
      <c r="X126" s="3">
        <v>84.9</v>
      </c>
      <c r="Y126" s="3" t="s">
        <v>33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</row>
    <row r="127" spans="2:49" x14ac:dyDescent="0.3">
      <c r="B127" s="3" t="s">
        <v>55</v>
      </c>
      <c r="C127" s="3" t="s">
        <v>238</v>
      </c>
      <c r="D127" s="3" t="s">
        <v>241</v>
      </c>
      <c r="E127" s="7" t="s">
        <v>242</v>
      </c>
      <c r="F127" s="3" t="s">
        <v>20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84.9</v>
      </c>
      <c r="V127" s="3">
        <v>0</v>
      </c>
      <c r="W127" s="3">
        <v>0</v>
      </c>
      <c r="X127" s="3">
        <v>84.9</v>
      </c>
      <c r="Y127" s="3" t="s">
        <v>33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</row>
    <row r="128" spans="2:49" x14ac:dyDescent="0.3">
      <c r="B128" s="3" t="s">
        <v>55</v>
      </c>
      <c r="C128" s="3" t="s">
        <v>238</v>
      </c>
      <c r="D128" s="3" t="s">
        <v>241</v>
      </c>
      <c r="E128" s="7" t="s">
        <v>281</v>
      </c>
      <c r="F128" s="3" t="s">
        <v>20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84.9</v>
      </c>
      <c r="V128" s="3">
        <v>0</v>
      </c>
      <c r="W128" s="3">
        <v>0</v>
      </c>
      <c r="X128" s="3">
        <v>84.9</v>
      </c>
      <c r="Y128" s="3" t="s">
        <v>34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59.75</v>
      </c>
      <c r="AS128" s="3">
        <v>0</v>
      </c>
      <c r="AT128" s="3">
        <v>0</v>
      </c>
      <c r="AU128" s="3">
        <v>0</v>
      </c>
      <c r="AV128" s="3">
        <v>0</v>
      </c>
      <c r="AW128" s="3">
        <v>59.75</v>
      </c>
    </row>
    <row r="129" spans="2:49" x14ac:dyDescent="0.3">
      <c r="B129" s="3" t="s">
        <v>55</v>
      </c>
      <c r="C129" s="3" t="s">
        <v>238</v>
      </c>
      <c r="D129" s="3" t="s">
        <v>241</v>
      </c>
      <c r="E129" s="7" t="s">
        <v>243</v>
      </c>
      <c r="F129" s="3" t="s">
        <v>20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84.9</v>
      </c>
      <c r="V129" s="3">
        <v>0</v>
      </c>
      <c r="W129" s="3">
        <v>0</v>
      </c>
      <c r="X129" s="3">
        <v>84.9</v>
      </c>
      <c r="Y129" s="3" t="s">
        <v>33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</row>
    <row r="130" spans="2:49" x14ac:dyDescent="0.3">
      <c r="B130" s="3" t="s">
        <v>55</v>
      </c>
      <c r="C130" s="3" t="s">
        <v>238</v>
      </c>
      <c r="D130" s="3" t="s">
        <v>241</v>
      </c>
      <c r="E130" s="7" t="s">
        <v>243</v>
      </c>
      <c r="F130" s="3" t="s">
        <v>20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84.9</v>
      </c>
      <c r="V130" s="3">
        <v>0</v>
      </c>
      <c r="W130" s="3">
        <v>0</v>
      </c>
      <c r="X130" s="3">
        <v>84.9</v>
      </c>
      <c r="Y130" s="3" t="s">
        <v>33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</row>
    <row r="131" spans="2:49" x14ac:dyDescent="0.3">
      <c r="B131" s="3" t="s">
        <v>55</v>
      </c>
      <c r="C131" s="3" t="s">
        <v>238</v>
      </c>
      <c r="D131" s="3" t="s">
        <v>241</v>
      </c>
      <c r="E131" s="7" t="s">
        <v>244</v>
      </c>
      <c r="F131" s="3" t="s">
        <v>20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84.9</v>
      </c>
      <c r="V131" s="3">
        <v>0</v>
      </c>
      <c r="W131" s="3">
        <v>0</v>
      </c>
      <c r="X131" s="3">
        <v>84.9</v>
      </c>
      <c r="Y131" s="3" t="s">
        <v>33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</row>
    <row r="132" spans="2:49" x14ac:dyDescent="0.3">
      <c r="B132" s="3" t="s">
        <v>55</v>
      </c>
      <c r="C132" s="3" t="s">
        <v>238</v>
      </c>
      <c r="D132" s="3" t="s">
        <v>241</v>
      </c>
      <c r="E132" s="7" t="s">
        <v>244</v>
      </c>
      <c r="F132" s="3" t="s">
        <v>20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84.9</v>
      </c>
      <c r="V132" s="3">
        <v>0</v>
      </c>
      <c r="W132" s="3">
        <v>0</v>
      </c>
      <c r="X132" s="3">
        <v>84.9</v>
      </c>
      <c r="Y132" s="3" t="s">
        <v>33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</row>
    <row r="133" spans="2:49" x14ac:dyDescent="0.3">
      <c r="B133" s="3" t="s">
        <v>55</v>
      </c>
      <c r="C133" s="3" t="s">
        <v>238</v>
      </c>
      <c r="D133" s="3" t="s">
        <v>245</v>
      </c>
      <c r="E133" s="7" t="s">
        <v>246</v>
      </c>
      <c r="F133" s="3" t="s">
        <v>20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84.9</v>
      </c>
      <c r="V133" s="3">
        <v>0</v>
      </c>
      <c r="W133" s="3">
        <v>0</v>
      </c>
      <c r="X133" s="3">
        <v>84.9</v>
      </c>
      <c r="Y133" s="3" t="s">
        <v>33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</row>
    <row r="134" spans="2:49" x14ac:dyDescent="0.3">
      <c r="B134" s="3" t="s">
        <v>55</v>
      </c>
      <c r="C134" s="3" t="s">
        <v>247</v>
      </c>
      <c r="D134" s="3" t="s">
        <v>248</v>
      </c>
      <c r="E134" s="7" t="s">
        <v>249</v>
      </c>
      <c r="F134" s="3" t="s">
        <v>20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84.9</v>
      </c>
      <c r="V134" s="3">
        <v>0</v>
      </c>
      <c r="W134" s="3">
        <v>0</v>
      </c>
      <c r="X134" s="3">
        <v>84.9</v>
      </c>
      <c r="Y134" s="3" t="s">
        <v>34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59.75</v>
      </c>
      <c r="AS134" s="3">
        <v>0</v>
      </c>
      <c r="AT134" s="3">
        <v>0</v>
      </c>
      <c r="AU134" s="3">
        <v>0</v>
      </c>
      <c r="AV134" s="3">
        <v>0</v>
      </c>
      <c r="AW134" s="3">
        <v>59.75</v>
      </c>
    </row>
    <row r="135" spans="2:49" x14ac:dyDescent="0.3">
      <c r="B135" s="3" t="s">
        <v>55</v>
      </c>
      <c r="C135" s="3" t="s">
        <v>250</v>
      </c>
      <c r="D135" s="3" t="s">
        <v>251</v>
      </c>
      <c r="E135" s="7" t="s">
        <v>252</v>
      </c>
      <c r="F135" s="3" t="s">
        <v>20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84.9</v>
      </c>
      <c r="V135" s="3">
        <v>0</v>
      </c>
      <c r="W135" s="3">
        <v>0</v>
      </c>
      <c r="X135" s="3">
        <v>84.9</v>
      </c>
      <c r="Y135" s="3" t="s">
        <v>33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</row>
    <row r="136" spans="2:49" x14ac:dyDescent="0.3">
      <c r="B136" s="3" t="s">
        <v>55</v>
      </c>
      <c r="C136" s="3" t="s">
        <v>250</v>
      </c>
      <c r="D136" s="3" t="s">
        <v>251</v>
      </c>
      <c r="E136" s="7" t="s">
        <v>252</v>
      </c>
      <c r="F136" s="3" t="s">
        <v>20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84.9</v>
      </c>
      <c r="V136" s="3">
        <v>0</v>
      </c>
      <c r="W136" s="3">
        <v>0</v>
      </c>
      <c r="X136" s="3">
        <v>84.9</v>
      </c>
      <c r="Y136" s="3" t="s">
        <v>33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</row>
    <row r="137" spans="2:49" x14ac:dyDescent="0.3">
      <c r="B137" s="3" t="s">
        <v>55</v>
      </c>
      <c r="C137" s="3" t="s">
        <v>250</v>
      </c>
      <c r="D137" s="3" t="s">
        <v>251</v>
      </c>
      <c r="E137" s="7" t="s">
        <v>252</v>
      </c>
      <c r="F137" s="3" t="s">
        <v>20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84.9</v>
      </c>
      <c r="V137" s="3">
        <v>0</v>
      </c>
      <c r="W137" s="3">
        <v>0</v>
      </c>
      <c r="X137" s="3">
        <v>84.9</v>
      </c>
      <c r="Y137" s="3" t="s">
        <v>33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</row>
    <row r="138" spans="2:49" x14ac:dyDescent="0.3">
      <c r="B138" s="3" t="s">
        <v>55</v>
      </c>
      <c r="C138" s="3" t="s">
        <v>250</v>
      </c>
      <c r="D138" s="3" t="s">
        <v>251</v>
      </c>
      <c r="E138" s="7" t="s">
        <v>252</v>
      </c>
      <c r="F138" s="3" t="s">
        <v>20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84.9</v>
      </c>
      <c r="V138" s="3">
        <v>0</v>
      </c>
      <c r="W138" s="3">
        <v>0</v>
      </c>
      <c r="X138" s="3">
        <v>84.9</v>
      </c>
      <c r="Y138" s="3" t="s">
        <v>33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</row>
    <row r="139" spans="2:49" x14ac:dyDescent="0.3">
      <c r="B139" s="3" t="s">
        <v>55</v>
      </c>
      <c r="C139" s="3" t="s">
        <v>250</v>
      </c>
      <c r="D139" s="3" t="s">
        <v>253</v>
      </c>
      <c r="E139" s="7" t="s">
        <v>254</v>
      </c>
      <c r="F139" s="3" t="s">
        <v>20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84.9</v>
      </c>
      <c r="V139" s="3">
        <v>0</v>
      </c>
      <c r="W139" s="3">
        <v>0</v>
      </c>
      <c r="X139" s="3">
        <v>84.9</v>
      </c>
      <c r="Y139" s="3" t="s">
        <v>33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</row>
    <row r="140" spans="2:49" x14ac:dyDescent="0.3">
      <c r="B140" s="3" t="s">
        <v>55</v>
      </c>
      <c r="C140" s="3" t="s">
        <v>250</v>
      </c>
      <c r="D140" s="3" t="s">
        <v>255</v>
      </c>
      <c r="E140" s="7" t="s">
        <v>256</v>
      </c>
      <c r="F140" s="3" t="s">
        <v>20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84.9</v>
      </c>
      <c r="V140" s="3">
        <v>0</v>
      </c>
      <c r="W140" s="3">
        <v>0</v>
      </c>
      <c r="X140" s="3">
        <v>84.9</v>
      </c>
      <c r="Y140" s="3" t="s">
        <v>33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</row>
    <row r="141" spans="2:49" x14ac:dyDescent="0.3">
      <c r="B141" s="3" t="s">
        <v>55</v>
      </c>
      <c r="C141" s="3" t="s">
        <v>250</v>
      </c>
      <c r="D141" s="3" t="s">
        <v>255</v>
      </c>
      <c r="E141" s="7" t="s">
        <v>282</v>
      </c>
      <c r="F141" s="3" t="s">
        <v>20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84.9</v>
      </c>
      <c r="V141" s="3">
        <v>0</v>
      </c>
      <c r="W141" s="3">
        <v>0</v>
      </c>
      <c r="X141" s="3">
        <v>84.9</v>
      </c>
      <c r="Y141" s="3" t="s">
        <v>33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</row>
    <row r="142" spans="2:49" x14ac:dyDescent="0.3">
      <c r="B142" s="3" t="s">
        <v>55</v>
      </c>
      <c r="C142" s="3" t="s">
        <v>205</v>
      </c>
      <c r="D142" s="3" t="s">
        <v>283</v>
      </c>
      <c r="E142" s="7" t="s">
        <v>284</v>
      </c>
      <c r="F142" s="3" t="s">
        <v>20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84.9</v>
      </c>
      <c r="V142" s="3">
        <v>0</v>
      </c>
      <c r="W142" s="3">
        <v>0</v>
      </c>
      <c r="X142" s="3">
        <v>84.9</v>
      </c>
      <c r="Y142" s="3" t="s">
        <v>33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</row>
    <row r="143" spans="2:49" x14ac:dyDescent="0.3">
      <c r="B143" s="3" t="s">
        <v>55</v>
      </c>
      <c r="C143" s="3" t="s">
        <v>205</v>
      </c>
      <c r="D143" s="3" t="s">
        <v>283</v>
      </c>
      <c r="E143" s="7" t="s">
        <v>284</v>
      </c>
      <c r="F143" s="3" t="s">
        <v>20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84.9</v>
      </c>
      <c r="V143" s="3">
        <v>0</v>
      </c>
      <c r="W143" s="3">
        <v>0</v>
      </c>
      <c r="X143" s="3">
        <v>84.9</v>
      </c>
      <c r="Y143" s="3" t="s">
        <v>33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</row>
    <row r="144" spans="2:49" x14ac:dyDescent="0.3">
      <c r="B144" s="3" t="s">
        <v>55</v>
      </c>
      <c r="C144" s="3" t="s">
        <v>238</v>
      </c>
      <c r="D144" s="3" t="s">
        <v>241</v>
      </c>
      <c r="E144" s="7" t="s">
        <v>285</v>
      </c>
      <c r="F144" s="3" t="s">
        <v>20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84.9</v>
      </c>
      <c r="V144" s="3">
        <v>0</v>
      </c>
      <c r="W144" s="3">
        <v>0</v>
      </c>
      <c r="X144" s="3">
        <v>84.9</v>
      </c>
      <c r="Y144" s="3" t="s">
        <v>34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59.75</v>
      </c>
      <c r="AS144" s="3">
        <v>0</v>
      </c>
      <c r="AT144" s="3">
        <v>0</v>
      </c>
      <c r="AU144" s="3">
        <v>0</v>
      </c>
      <c r="AV144" s="3">
        <v>0</v>
      </c>
      <c r="AW144" s="3">
        <v>59.75</v>
      </c>
    </row>
    <row r="145" spans="2:49" x14ac:dyDescent="0.3">
      <c r="B145" s="3" t="s">
        <v>55</v>
      </c>
      <c r="C145" s="3" t="s">
        <v>238</v>
      </c>
      <c r="D145" s="3" t="s">
        <v>241</v>
      </c>
      <c r="E145" s="7" t="s">
        <v>286</v>
      </c>
      <c r="F145" s="3" t="s">
        <v>20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84.9</v>
      </c>
      <c r="V145" s="3">
        <v>0</v>
      </c>
      <c r="W145" s="3">
        <v>0</v>
      </c>
      <c r="X145" s="3">
        <v>84.9</v>
      </c>
      <c r="Y145" s="3" t="s">
        <v>43</v>
      </c>
      <c r="Z145" s="3" t="s">
        <v>23</v>
      </c>
      <c r="AA145" s="3" t="s">
        <v>23</v>
      </c>
      <c r="AB145" s="3" t="s">
        <v>23</v>
      </c>
      <c r="AC145" s="3" t="s">
        <v>23</v>
      </c>
      <c r="AD145" s="3" t="s">
        <v>23</v>
      </c>
      <c r="AE145" s="3" t="s">
        <v>23</v>
      </c>
      <c r="AF145" s="3" t="s">
        <v>23</v>
      </c>
      <c r="AG145" s="3" t="s">
        <v>23</v>
      </c>
      <c r="AH145" s="3" t="s">
        <v>23</v>
      </c>
      <c r="AI145" s="3" t="s">
        <v>23</v>
      </c>
      <c r="AJ145" s="3" t="s">
        <v>23</v>
      </c>
      <c r="AK145" s="3" t="s">
        <v>23</v>
      </c>
      <c r="AL145" s="3" t="s">
        <v>23</v>
      </c>
      <c r="AM145" s="3" t="s">
        <v>23</v>
      </c>
      <c r="AN145" s="3" t="s">
        <v>23</v>
      </c>
      <c r="AO145" s="3" t="s">
        <v>23</v>
      </c>
      <c r="AP145" s="3" t="s">
        <v>23</v>
      </c>
      <c r="AQ145" s="3" t="s">
        <v>23</v>
      </c>
      <c r="AR145" s="3" t="s">
        <v>23</v>
      </c>
      <c r="AS145" s="3" t="s">
        <v>23</v>
      </c>
      <c r="AT145" s="3" t="s">
        <v>23</v>
      </c>
      <c r="AU145" s="3" t="s">
        <v>23</v>
      </c>
      <c r="AV145" s="3" t="s">
        <v>23</v>
      </c>
      <c r="AW145" s="3" t="s">
        <v>23</v>
      </c>
    </row>
    <row r="146" spans="2:49" x14ac:dyDescent="0.3">
      <c r="B146" s="3" t="s">
        <v>55</v>
      </c>
      <c r="C146" s="3" t="s">
        <v>238</v>
      </c>
      <c r="D146" s="3" t="s">
        <v>241</v>
      </c>
      <c r="E146" s="7" t="s">
        <v>287</v>
      </c>
      <c r="F146" s="3" t="s">
        <v>20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84.9</v>
      </c>
      <c r="V146" s="3">
        <v>0</v>
      </c>
      <c r="W146" s="3">
        <v>0</v>
      </c>
      <c r="X146" s="3">
        <v>84.9</v>
      </c>
      <c r="Y146" s="3" t="s">
        <v>43</v>
      </c>
      <c r="Z146" s="3" t="s">
        <v>23</v>
      </c>
      <c r="AA146" s="3" t="s">
        <v>23</v>
      </c>
      <c r="AB146" s="3" t="s">
        <v>23</v>
      </c>
      <c r="AC146" s="3" t="s">
        <v>23</v>
      </c>
      <c r="AD146" s="3" t="s">
        <v>23</v>
      </c>
      <c r="AE146" s="3" t="s">
        <v>23</v>
      </c>
      <c r="AF146" s="3" t="s">
        <v>23</v>
      </c>
      <c r="AG146" s="3" t="s">
        <v>23</v>
      </c>
      <c r="AH146" s="3" t="s">
        <v>23</v>
      </c>
      <c r="AI146" s="3" t="s">
        <v>23</v>
      </c>
      <c r="AJ146" s="3" t="s">
        <v>23</v>
      </c>
      <c r="AK146" s="3" t="s">
        <v>23</v>
      </c>
      <c r="AL146" s="3" t="s">
        <v>23</v>
      </c>
      <c r="AM146" s="3" t="s">
        <v>23</v>
      </c>
      <c r="AN146" s="3" t="s">
        <v>23</v>
      </c>
      <c r="AO146" s="3" t="s">
        <v>23</v>
      </c>
      <c r="AP146" s="3" t="s">
        <v>23</v>
      </c>
      <c r="AQ146" s="3" t="s">
        <v>23</v>
      </c>
      <c r="AR146" s="3" t="s">
        <v>23</v>
      </c>
      <c r="AS146" s="3" t="s">
        <v>23</v>
      </c>
      <c r="AT146" s="3" t="s">
        <v>23</v>
      </c>
      <c r="AU146" s="3" t="s">
        <v>23</v>
      </c>
      <c r="AV146" s="3" t="s">
        <v>23</v>
      </c>
      <c r="AW146" s="3" t="s">
        <v>23</v>
      </c>
    </row>
    <row r="147" spans="2:49" x14ac:dyDescent="0.3">
      <c r="B147" s="3" t="s">
        <v>55</v>
      </c>
      <c r="C147" s="3" t="s">
        <v>205</v>
      </c>
      <c r="D147" s="3" t="s">
        <v>288</v>
      </c>
      <c r="E147" s="7" t="s">
        <v>289</v>
      </c>
      <c r="F147" s="3" t="s">
        <v>20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84.9</v>
      </c>
      <c r="V147" s="3">
        <v>0</v>
      </c>
      <c r="W147" s="3">
        <v>0</v>
      </c>
      <c r="X147" s="3">
        <v>84.9</v>
      </c>
      <c r="Y147" s="3" t="s">
        <v>43</v>
      </c>
      <c r="Z147" s="3" t="s">
        <v>23</v>
      </c>
      <c r="AA147" s="3" t="s">
        <v>23</v>
      </c>
      <c r="AB147" s="3" t="s">
        <v>23</v>
      </c>
      <c r="AC147" s="3" t="s">
        <v>23</v>
      </c>
      <c r="AD147" s="3" t="s">
        <v>23</v>
      </c>
      <c r="AE147" s="3" t="s">
        <v>23</v>
      </c>
      <c r="AF147" s="3" t="s">
        <v>23</v>
      </c>
      <c r="AG147" s="3" t="s">
        <v>23</v>
      </c>
      <c r="AH147" s="3" t="s">
        <v>23</v>
      </c>
      <c r="AI147" s="3" t="s">
        <v>23</v>
      </c>
      <c r="AJ147" s="3" t="s">
        <v>23</v>
      </c>
      <c r="AK147" s="3" t="s">
        <v>23</v>
      </c>
      <c r="AL147" s="3" t="s">
        <v>23</v>
      </c>
      <c r="AM147" s="3" t="s">
        <v>23</v>
      </c>
      <c r="AN147" s="3" t="s">
        <v>23</v>
      </c>
      <c r="AO147" s="3" t="s">
        <v>23</v>
      </c>
      <c r="AP147" s="3" t="s">
        <v>23</v>
      </c>
      <c r="AQ147" s="3" t="s">
        <v>23</v>
      </c>
      <c r="AR147" s="3" t="s">
        <v>23</v>
      </c>
      <c r="AS147" s="3" t="s">
        <v>23</v>
      </c>
      <c r="AT147" s="3" t="s">
        <v>23</v>
      </c>
      <c r="AU147" s="3" t="s">
        <v>23</v>
      </c>
      <c r="AV147" s="3" t="s">
        <v>23</v>
      </c>
      <c r="AW147" s="3" t="s">
        <v>23</v>
      </c>
    </row>
    <row r="148" spans="2:49" x14ac:dyDescent="0.3">
      <c r="B148" s="3" t="s">
        <v>55</v>
      </c>
      <c r="C148" s="3" t="s">
        <v>238</v>
      </c>
      <c r="D148" s="3" t="s">
        <v>241</v>
      </c>
      <c r="E148" s="7" t="s">
        <v>290</v>
      </c>
      <c r="F148" s="3" t="s">
        <v>20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84.9</v>
      </c>
      <c r="V148" s="3">
        <v>0</v>
      </c>
      <c r="W148" s="3">
        <v>0</v>
      </c>
      <c r="X148" s="3">
        <v>84.9</v>
      </c>
      <c r="Y148" s="3" t="s">
        <v>43</v>
      </c>
      <c r="Z148" s="3" t="s">
        <v>23</v>
      </c>
      <c r="AA148" s="3" t="s">
        <v>23</v>
      </c>
      <c r="AB148" s="3" t="s">
        <v>23</v>
      </c>
      <c r="AC148" s="3" t="s">
        <v>23</v>
      </c>
      <c r="AD148" s="3" t="s">
        <v>23</v>
      </c>
      <c r="AE148" s="3" t="s">
        <v>23</v>
      </c>
      <c r="AF148" s="3" t="s">
        <v>23</v>
      </c>
      <c r="AG148" s="3" t="s">
        <v>23</v>
      </c>
      <c r="AH148" s="3" t="s">
        <v>23</v>
      </c>
      <c r="AI148" s="3" t="s">
        <v>23</v>
      </c>
      <c r="AJ148" s="3" t="s">
        <v>23</v>
      </c>
      <c r="AK148" s="3" t="s">
        <v>23</v>
      </c>
      <c r="AL148" s="3" t="s">
        <v>23</v>
      </c>
      <c r="AM148" s="3" t="s">
        <v>23</v>
      </c>
      <c r="AN148" s="3" t="s">
        <v>23</v>
      </c>
      <c r="AO148" s="3" t="s">
        <v>23</v>
      </c>
      <c r="AP148" s="3" t="s">
        <v>23</v>
      </c>
      <c r="AQ148" s="3" t="s">
        <v>23</v>
      </c>
      <c r="AR148" s="3" t="s">
        <v>23</v>
      </c>
      <c r="AS148" s="3" t="s">
        <v>23</v>
      </c>
      <c r="AT148" s="3" t="s">
        <v>23</v>
      </c>
      <c r="AU148" s="3" t="s">
        <v>23</v>
      </c>
      <c r="AV148" s="3" t="s">
        <v>23</v>
      </c>
      <c r="AW148" s="3" t="s">
        <v>23</v>
      </c>
    </row>
    <row r="149" spans="2:49" x14ac:dyDescent="0.3">
      <c r="B149" s="3" t="s">
        <v>55</v>
      </c>
      <c r="C149" s="3" t="s">
        <v>205</v>
      </c>
      <c r="D149" s="3" t="s">
        <v>269</v>
      </c>
      <c r="E149" s="7" t="s">
        <v>291</v>
      </c>
      <c r="F149" s="3" t="s">
        <v>20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84.9</v>
      </c>
      <c r="V149" s="3">
        <v>0</v>
      </c>
      <c r="W149" s="3">
        <v>0</v>
      </c>
      <c r="X149" s="3">
        <v>84.9</v>
      </c>
      <c r="Y149" s="3" t="s">
        <v>43</v>
      </c>
      <c r="Z149" s="3" t="s">
        <v>23</v>
      </c>
      <c r="AA149" s="3" t="s">
        <v>23</v>
      </c>
      <c r="AB149" s="3" t="s">
        <v>23</v>
      </c>
      <c r="AC149" s="3" t="s">
        <v>23</v>
      </c>
      <c r="AD149" s="3" t="s">
        <v>23</v>
      </c>
      <c r="AE149" s="3" t="s">
        <v>23</v>
      </c>
      <c r="AF149" s="3" t="s">
        <v>23</v>
      </c>
      <c r="AG149" s="3" t="s">
        <v>23</v>
      </c>
      <c r="AH149" s="3" t="s">
        <v>23</v>
      </c>
      <c r="AI149" s="3" t="s">
        <v>23</v>
      </c>
      <c r="AJ149" s="3" t="s">
        <v>23</v>
      </c>
      <c r="AK149" s="3" t="s">
        <v>23</v>
      </c>
      <c r="AL149" s="3" t="s">
        <v>23</v>
      </c>
      <c r="AM149" s="3" t="s">
        <v>23</v>
      </c>
      <c r="AN149" s="3" t="s">
        <v>23</v>
      </c>
      <c r="AO149" s="3" t="s">
        <v>23</v>
      </c>
      <c r="AP149" s="3" t="s">
        <v>23</v>
      </c>
      <c r="AQ149" s="3" t="s">
        <v>23</v>
      </c>
      <c r="AR149" s="3" t="s">
        <v>23</v>
      </c>
      <c r="AS149" s="3" t="s">
        <v>23</v>
      </c>
      <c r="AT149" s="3" t="s">
        <v>23</v>
      </c>
      <c r="AU149" s="3" t="s">
        <v>23</v>
      </c>
      <c r="AV149" s="3" t="s">
        <v>23</v>
      </c>
      <c r="AW149" s="3" t="s">
        <v>23</v>
      </c>
    </row>
    <row r="150" spans="2:49" x14ac:dyDescent="0.3">
      <c r="B150" s="3" t="s">
        <v>55</v>
      </c>
      <c r="C150" s="3" t="s">
        <v>205</v>
      </c>
      <c r="D150" s="3" t="s">
        <v>269</v>
      </c>
      <c r="E150" s="7" t="s">
        <v>292</v>
      </c>
      <c r="F150" s="3" t="s">
        <v>20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84.9</v>
      </c>
      <c r="V150" s="3">
        <v>0</v>
      </c>
      <c r="W150" s="3">
        <v>0</v>
      </c>
      <c r="X150" s="3">
        <v>84.9</v>
      </c>
      <c r="Y150" s="3" t="s">
        <v>43</v>
      </c>
      <c r="Z150" s="3" t="s">
        <v>23</v>
      </c>
      <c r="AA150" s="3" t="s">
        <v>23</v>
      </c>
      <c r="AB150" s="3" t="s">
        <v>23</v>
      </c>
      <c r="AC150" s="3" t="s">
        <v>23</v>
      </c>
      <c r="AD150" s="3" t="s">
        <v>23</v>
      </c>
      <c r="AE150" s="3" t="s">
        <v>23</v>
      </c>
      <c r="AF150" s="3" t="s">
        <v>23</v>
      </c>
      <c r="AG150" s="3" t="s">
        <v>23</v>
      </c>
      <c r="AH150" s="3" t="s">
        <v>23</v>
      </c>
      <c r="AI150" s="3" t="s">
        <v>23</v>
      </c>
      <c r="AJ150" s="3" t="s">
        <v>23</v>
      </c>
      <c r="AK150" s="3" t="s">
        <v>23</v>
      </c>
      <c r="AL150" s="3" t="s">
        <v>23</v>
      </c>
      <c r="AM150" s="3" t="s">
        <v>23</v>
      </c>
      <c r="AN150" s="3" t="s">
        <v>23</v>
      </c>
      <c r="AO150" s="3" t="s">
        <v>23</v>
      </c>
      <c r="AP150" s="3" t="s">
        <v>23</v>
      </c>
      <c r="AQ150" s="3" t="s">
        <v>23</v>
      </c>
      <c r="AR150" s="3" t="s">
        <v>23</v>
      </c>
      <c r="AS150" s="3" t="s">
        <v>23</v>
      </c>
      <c r="AT150" s="3" t="s">
        <v>23</v>
      </c>
      <c r="AU150" s="3" t="s">
        <v>23</v>
      </c>
      <c r="AV150" s="3" t="s">
        <v>23</v>
      </c>
      <c r="AW150" s="3" t="s">
        <v>23</v>
      </c>
    </row>
    <row r="151" spans="2:49" x14ac:dyDescent="0.3">
      <c r="B151" s="3" t="s">
        <v>55</v>
      </c>
      <c r="C151" s="3" t="s">
        <v>238</v>
      </c>
      <c r="D151" s="3" t="s">
        <v>241</v>
      </c>
      <c r="E151" s="7" t="s">
        <v>290</v>
      </c>
      <c r="F151" s="3" t="s">
        <v>20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84.9</v>
      </c>
      <c r="V151" s="3">
        <v>0</v>
      </c>
      <c r="W151" s="3">
        <v>0</v>
      </c>
      <c r="X151" s="3">
        <v>84.9</v>
      </c>
      <c r="Y151" s="3" t="s">
        <v>43</v>
      </c>
      <c r="Z151" s="3" t="s">
        <v>23</v>
      </c>
      <c r="AA151" s="3" t="s">
        <v>23</v>
      </c>
      <c r="AB151" s="3" t="s">
        <v>23</v>
      </c>
      <c r="AC151" s="3" t="s">
        <v>23</v>
      </c>
      <c r="AD151" s="3" t="s">
        <v>23</v>
      </c>
      <c r="AE151" s="3" t="s">
        <v>23</v>
      </c>
      <c r="AF151" s="3" t="s">
        <v>23</v>
      </c>
      <c r="AG151" s="3" t="s">
        <v>23</v>
      </c>
      <c r="AH151" s="3" t="s">
        <v>23</v>
      </c>
      <c r="AI151" s="3" t="s">
        <v>23</v>
      </c>
      <c r="AJ151" s="3" t="s">
        <v>23</v>
      </c>
      <c r="AK151" s="3" t="s">
        <v>23</v>
      </c>
      <c r="AL151" s="3" t="s">
        <v>23</v>
      </c>
      <c r="AM151" s="3" t="s">
        <v>23</v>
      </c>
      <c r="AN151" s="3" t="s">
        <v>23</v>
      </c>
      <c r="AO151" s="3" t="s">
        <v>23</v>
      </c>
      <c r="AP151" s="3" t="s">
        <v>23</v>
      </c>
      <c r="AQ151" s="3" t="s">
        <v>23</v>
      </c>
      <c r="AR151" s="3" t="s">
        <v>23</v>
      </c>
      <c r="AS151" s="3" t="s">
        <v>23</v>
      </c>
      <c r="AT151" s="3" t="s">
        <v>23</v>
      </c>
      <c r="AU151" s="3" t="s">
        <v>23</v>
      </c>
      <c r="AV151" s="3" t="s">
        <v>23</v>
      </c>
      <c r="AW151" s="3" t="s">
        <v>23</v>
      </c>
    </row>
    <row r="152" spans="2:49" x14ac:dyDescent="0.3">
      <c r="B152" s="3" t="s">
        <v>55</v>
      </c>
      <c r="C152" s="3" t="s">
        <v>257</v>
      </c>
      <c r="D152" s="3" t="s">
        <v>258</v>
      </c>
      <c r="E152" s="7" t="s">
        <v>259</v>
      </c>
      <c r="F152" s="3" t="s">
        <v>20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84.9</v>
      </c>
      <c r="V152" s="3">
        <v>0</v>
      </c>
      <c r="W152" s="3">
        <v>0</v>
      </c>
      <c r="X152" s="3">
        <v>84.9</v>
      </c>
      <c r="Y152" s="3" t="s">
        <v>46</v>
      </c>
      <c r="Z152" s="3" t="s">
        <v>23</v>
      </c>
      <c r="AA152" s="3" t="s">
        <v>23</v>
      </c>
      <c r="AB152" s="3" t="s">
        <v>23</v>
      </c>
      <c r="AC152" s="3" t="s">
        <v>23</v>
      </c>
      <c r="AD152" s="3" t="s">
        <v>23</v>
      </c>
      <c r="AE152" s="3" t="s">
        <v>23</v>
      </c>
      <c r="AF152" s="3" t="s">
        <v>23</v>
      </c>
      <c r="AG152" s="3" t="s">
        <v>23</v>
      </c>
      <c r="AH152" s="3" t="s">
        <v>23</v>
      </c>
      <c r="AI152" s="3" t="s">
        <v>23</v>
      </c>
      <c r="AJ152" s="3" t="s">
        <v>23</v>
      </c>
      <c r="AK152" s="3" t="s">
        <v>23</v>
      </c>
      <c r="AL152" s="3" t="s">
        <v>23</v>
      </c>
      <c r="AM152" s="3" t="s">
        <v>23</v>
      </c>
      <c r="AN152" s="3" t="s">
        <v>23</v>
      </c>
      <c r="AO152" s="3" t="s">
        <v>23</v>
      </c>
      <c r="AP152" s="3" t="s">
        <v>23</v>
      </c>
      <c r="AQ152" s="3" t="s">
        <v>23</v>
      </c>
      <c r="AR152" s="3" t="s">
        <v>23</v>
      </c>
      <c r="AS152" s="3" t="s">
        <v>23</v>
      </c>
      <c r="AT152" s="3" t="s">
        <v>23</v>
      </c>
      <c r="AU152" s="3" t="s">
        <v>23</v>
      </c>
      <c r="AV152" s="3" t="s">
        <v>23</v>
      </c>
      <c r="AW152" s="3" t="s">
        <v>23</v>
      </c>
    </row>
    <row r="153" spans="2:49" x14ac:dyDescent="0.3">
      <c r="B153" s="3" t="s">
        <v>55</v>
      </c>
      <c r="C153" s="3" t="s">
        <v>228</v>
      </c>
      <c r="D153" s="3" t="s">
        <v>229</v>
      </c>
      <c r="E153" s="7" t="s">
        <v>230</v>
      </c>
      <c r="F153" s="3" t="s">
        <v>20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84.9</v>
      </c>
      <c r="V153" s="3">
        <v>0</v>
      </c>
      <c r="W153" s="3">
        <v>0</v>
      </c>
      <c r="X153" s="3">
        <v>84.9</v>
      </c>
      <c r="Y153" s="3" t="s">
        <v>43</v>
      </c>
      <c r="Z153" s="3" t="s">
        <v>23</v>
      </c>
      <c r="AA153" s="3" t="s">
        <v>23</v>
      </c>
      <c r="AB153" s="3" t="s">
        <v>23</v>
      </c>
      <c r="AC153" s="3" t="s">
        <v>23</v>
      </c>
      <c r="AD153" s="3" t="s">
        <v>23</v>
      </c>
      <c r="AE153" s="3" t="s">
        <v>23</v>
      </c>
      <c r="AF153" s="3" t="s">
        <v>23</v>
      </c>
      <c r="AG153" s="3" t="s">
        <v>23</v>
      </c>
      <c r="AH153" s="3" t="s">
        <v>23</v>
      </c>
      <c r="AI153" s="3" t="s">
        <v>23</v>
      </c>
      <c r="AJ153" s="3" t="s">
        <v>23</v>
      </c>
      <c r="AK153" s="3" t="s">
        <v>23</v>
      </c>
      <c r="AL153" s="3" t="s">
        <v>23</v>
      </c>
      <c r="AM153" s="3" t="s">
        <v>23</v>
      </c>
      <c r="AN153" s="3" t="s">
        <v>23</v>
      </c>
      <c r="AO153" s="3" t="s">
        <v>23</v>
      </c>
      <c r="AP153" s="3" t="s">
        <v>23</v>
      </c>
      <c r="AQ153" s="3" t="s">
        <v>23</v>
      </c>
      <c r="AR153" s="3" t="s">
        <v>23</v>
      </c>
      <c r="AS153" s="3" t="s">
        <v>23</v>
      </c>
      <c r="AT153" s="3" t="s">
        <v>23</v>
      </c>
      <c r="AU153" s="3" t="s">
        <v>23</v>
      </c>
      <c r="AV153" s="3" t="s">
        <v>23</v>
      </c>
      <c r="AW153" s="3" t="s">
        <v>23</v>
      </c>
    </row>
    <row r="154" spans="2:49" x14ac:dyDescent="0.3">
      <c r="B154" s="3" t="s">
        <v>55</v>
      </c>
      <c r="C154" s="3" t="s">
        <v>205</v>
      </c>
      <c r="D154" s="3" t="s">
        <v>223</v>
      </c>
      <c r="E154" s="7" t="s">
        <v>224</v>
      </c>
      <c r="F154" s="3" t="s">
        <v>20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84.9</v>
      </c>
      <c r="V154" s="3">
        <v>0</v>
      </c>
      <c r="W154" s="3">
        <v>0</v>
      </c>
      <c r="X154" s="3">
        <v>84.9</v>
      </c>
      <c r="Y154" s="3" t="s">
        <v>43</v>
      </c>
      <c r="Z154" s="3" t="s">
        <v>23</v>
      </c>
      <c r="AA154" s="3" t="s">
        <v>23</v>
      </c>
      <c r="AB154" s="3" t="s">
        <v>23</v>
      </c>
      <c r="AC154" s="3" t="s">
        <v>23</v>
      </c>
      <c r="AD154" s="3" t="s">
        <v>23</v>
      </c>
      <c r="AE154" s="3" t="s">
        <v>23</v>
      </c>
      <c r="AF154" s="3" t="s">
        <v>23</v>
      </c>
      <c r="AG154" s="3" t="s">
        <v>23</v>
      </c>
      <c r="AH154" s="3" t="s">
        <v>23</v>
      </c>
      <c r="AI154" s="3" t="s">
        <v>23</v>
      </c>
      <c r="AJ154" s="3" t="s">
        <v>23</v>
      </c>
      <c r="AK154" s="3" t="s">
        <v>23</v>
      </c>
      <c r="AL154" s="3" t="s">
        <v>23</v>
      </c>
      <c r="AM154" s="3" t="s">
        <v>23</v>
      </c>
      <c r="AN154" s="3" t="s">
        <v>23</v>
      </c>
      <c r="AO154" s="3" t="s">
        <v>23</v>
      </c>
      <c r="AP154" s="3" t="s">
        <v>23</v>
      </c>
      <c r="AQ154" s="3" t="s">
        <v>23</v>
      </c>
      <c r="AR154" s="3" t="s">
        <v>23</v>
      </c>
      <c r="AS154" s="3" t="s">
        <v>23</v>
      </c>
      <c r="AT154" s="3" t="s">
        <v>23</v>
      </c>
      <c r="AU154" s="3" t="s">
        <v>23</v>
      </c>
      <c r="AV154" s="3" t="s">
        <v>23</v>
      </c>
      <c r="AW154" s="3" t="s">
        <v>23</v>
      </c>
    </row>
    <row r="155" spans="2:49" x14ac:dyDescent="0.3">
      <c r="B155" s="3" t="s">
        <v>55</v>
      </c>
      <c r="C155" s="3" t="s">
        <v>238</v>
      </c>
      <c r="D155" s="3" t="s">
        <v>241</v>
      </c>
      <c r="E155" s="7" t="s">
        <v>243</v>
      </c>
      <c r="F155" s="3" t="s">
        <v>20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84.9</v>
      </c>
      <c r="V155" s="3">
        <v>0</v>
      </c>
      <c r="W155" s="3">
        <v>0</v>
      </c>
      <c r="X155" s="3">
        <v>84.9</v>
      </c>
      <c r="Y155" s="3" t="s">
        <v>33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</row>
    <row r="156" spans="2:49" x14ac:dyDescent="0.3">
      <c r="B156" s="3" t="s">
        <v>55</v>
      </c>
      <c r="C156" s="3" t="s">
        <v>205</v>
      </c>
      <c r="D156" s="3" t="s">
        <v>221</v>
      </c>
      <c r="E156" s="7" t="s">
        <v>222</v>
      </c>
      <c r="F156" s="3" t="s">
        <v>20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84.9</v>
      </c>
      <c r="V156" s="3">
        <v>0</v>
      </c>
      <c r="W156" s="3">
        <v>0</v>
      </c>
      <c r="X156" s="3">
        <v>84.9</v>
      </c>
      <c r="Y156" s="3" t="s">
        <v>33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</row>
    <row r="157" spans="2:49" x14ac:dyDescent="0.3">
      <c r="B157" s="3" t="s">
        <v>55</v>
      </c>
      <c r="C157" s="3" t="s">
        <v>205</v>
      </c>
      <c r="D157" s="3" t="s">
        <v>293</v>
      </c>
      <c r="E157" s="7" t="s">
        <v>294</v>
      </c>
      <c r="F157" s="3" t="s">
        <v>20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84.9</v>
      </c>
      <c r="V157" s="3">
        <v>0</v>
      </c>
      <c r="W157" s="3">
        <v>0</v>
      </c>
      <c r="X157" s="3">
        <v>84.9</v>
      </c>
      <c r="Y157" s="3" t="s">
        <v>33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</row>
    <row r="158" spans="2:49" x14ac:dyDescent="0.3">
      <c r="B158" s="3" t="s">
        <v>55</v>
      </c>
      <c r="C158" s="3" t="s">
        <v>181</v>
      </c>
      <c r="D158" s="3" t="s">
        <v>182</v>
      </c>
      <c r="E158" s="7" t="s">
        <v>188</v>
      </c>
      <c r="F158" s="3" t="s">
        <v>20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84.9</v>
      </c>
      <c r="V158" s="3">
        <v>0</v>
      </c>
      <c r="W158" s="3">
        <v>0</v>
      </c>
      <c r="X158" s="3">
        <v>84.9</v>
      </c>
      <c r="Y158" s="3" t="s">
        <v>33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</row>
    <row r="159" spans="2:49" x14ac:dyDescent="0.3">
      <c r="B159" s="3" t="s">
        <v>55</v>
      </c>
      <c r="C159" s="3" t="s">
        <v>169</v>
      </c>
      <c r="D159" s="3" t="s">
        <v>170</v>
      </c>
      <c r="E159" s="7" t="s">
        <v>171</v>
      </c>
      <c r="F159" s="3" t="s">
        <v>20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84.9</v>
      </c>
      <c r="V159" s="3">
        <v>0</v>
      </c>
      <c r="W159" s="3">
        <v>0</v>
      </c>
      <c r="X159" s="3">
        <v>84.9</v>
      </c>
      <c r="Y159" s="3" t="s">
        <v>50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60.2</v>
      </c>
      <c r="AO159" s="3" t="s">
        <v>23</v>
      </c>
      <c r="AP159" s="3" t="s">
        <v>23</v>
      </c>
      <c r="AQ159" s="3" t="s">
        <v>23</v>
      </c>
      <c r="AR159" s="3" t="s">
        <v>23</v>
      </c>
      <c r="AS159" s="3" t="s">
        <v>23</v>
      </c>
      <c r="AT159" s="3" t="s">
        <v>23</v>
      </c>
      <c r="AU159" s="3" t="s">
        <v>23</v>
      </c>
      <c r="AV159" s="3" t="s">
        <v>23</v>
      </c>
      <c r="AW159" s="3" t="s">
        <v>23</v>
      </c>
    </row>
    <row r="160" spans="2:49" x14ac:dyDescent="0.3">
      <c r="B160" s="3" t="s">
        <v>55</v>
      </c>
      <c r="C160" s="3" t="s">
        <v>205</v>
      </c>
      <c r="D160" s="3" t="s">
        <v>295</v>
      </c>
      <c r="E160" s="7" t="s">
        <v>296</v>
      </c>
      <c r="F160" s="3" t="s">
        <v>20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84.9</v>
      </c>
      <c r="V160" s="3">
        <v>0</v>
      </c>
      <c r="W160" s="3">
        <v>0</v>
      </c>
      <c r="X160" s="3">
        <v>84.9</v>
      </c>
      <c r="Y160" s="3" t="s">
        <v>33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</row>
    <row r="161" spans="2:49" x14ac:dyDescent="0.3">
      <c r="B161" s="3" t="s">
        <v>55</v>
      </c>
      <c r="C161" s="3" t="s">
        <v>181</v>
      </c>
      <c r="D161" s="3" t="s">
        <v>182</v>
      </c>
      <c r="E161" s="7" t="s">
        <v>184</v>
      </c>
      <c r="F161" s="3" t="s">
        <v>20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84.9</v>
      </c>
      <c r="V161" s="3">
        <v>0</v>
      </c>
      <c r="W161" s="3">
        <v>0</v>
      </c>
      <c r="X161" s="3">
        <v>84.9</v>
      </c>
      <c r="Y161" s="3" t="s">
        <v>33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</row>
    <row r="162" spans="2:49" x14ac:dyDescent="0.3">
      <c r="B162" s="3" t="s">
        <v>55</v>
      </c>
      <c r="C162" s="3" t="s">
        <v>205</v>
      </c>
      <c r="D162" s="3" t="s">
        <v>208</v>
      </c>
      <c r="E162" s="7" t="s">
        <v>297</v>
      </c>
      <c r="F162" s="3" t="s">
        <v>20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84.9</v>
      </c>
      <c r="V162" s="3">
        <v>0</v>
      </c>
      <c r="W162" s="3">
        <v>0</v>
      </c>
      <c r="X162" s="3">
        <v>84.9</v>
      </c>
      <c r="Y162" s="3" t="s">
        <v>33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</row>
    <row r="163" spans="2:49" x14ac:dyDescent="0.3">
      <c r="B163" s="3" t="s">
        <v>55</v>
      </c>
      <c r="C163" s="3" t="s">
        <v>205</v>
      </c>
      <c r="D163" s="3" t="s">
        <v>221</v>
      </c>
      <c r="E163" s="7" t="s">
        <v>222</v>
      </c>
      <c r="F163" s="3" t="s">
        <v>20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84.9</v>
      </c>
      <c r="V163" s="3">
        <v>0</v>
      </c>
      <c r="W163" s="3">
        <v>0</v>
      </c>
      <c r="X163" s="3">
        <v>84.9</v>
      </c>
      <c r="Y163" s="3" t="s">
        <v>33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</row>
    <row r="164" spans="2:49" x14ac:dyDescent="0.3">
      <c r="B164" s="3" t="s">
        <v>55</v>
      </c>
      <c r="C164" s="3" t="s">
        <v>205</v>
      </c>
      <c r="D164" s="3" t="s">
        <v>210</v>
      </c>
      <c r="E164" s="7" t="s">
        <v>211</v>
      </c>
      <c r="F164" s="3" t="s">
        <v>25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 t="s">
        <v>23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84.9</v>
      </c>
      <c r="V164" s="3">
        <v>0</v>
      </c>
      <c r="W164" s="3">
        <v>0</v>
      </c>
      <c r="X164" s="3" t="s">
        <v>23</v>
      </c>
      <c r="Y164" s="3" t="s">
        <v>51</v>
      </c>
      <c r="Z164" s="3">
        <v>0</v>
      </c>
      <c r="AA164" s="3" t="s">
        <v>23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 t="s">
        <v>23</v>
      </c>
    </row>
    <row r="165" spans="2:49" x14ac:dyDescent="0.3">
      <c r="B165" s="3" t="s">
        <v>55</v>
      </c>
      <c r="C165" s="3" t="s">
        <v>238</v>
      </c>
      <c r="D165" s="3" t="s">
        <v>241</v>
      </c>
      <c r="E165" s="7" t="s">
        <v>244</v>
      </c>
      <c r="F165" s="3" t="s">
        <v>20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84.9</v>
      </c>
      <c r="V165" s="3">
        <v>0</v>
      </c>
      <c r="W165" s="3">
        <v>0</v>
      </c>
      <c r="X165" s="3">
        <v>84.9</v>
      </c>
      <c r="Y165" s="3" t="s">
        <v>33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</row>
    <row r="166" spans="2:49" x14ac:dyDescent="0.3">
      <c r="B166" s="3" t="s">
        <v>55</v>
      </c>
      <c r="C166" s="3" t="s">
        <v>205</v>
      </c>
      <c r="D166" s="3" t="s">
        <v>218</v>
      </c>
      <c r="E166" s="7" t="s">
        <v>219</v>
      </c>
      <c r="F166" s="3" t="s">
        <v>20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84.9</v>
      </c>
      <c r="V166" s="3">
        <v>0</v>
      </c>
      <c r="W166" s="3">
        <v>0</v>
      </c>
      <c r="X166" s="3">
        <v>84.9</v>
      </c>
      <c r="Y166" s="3" t="s">
        <v>33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</row>
    <row r="167" spans="2:49" x14ac:dyDescent="0.3">
      <c r="B167" s="3" t="s">
        <v>55</v>
      </c>
      <c r="C167" s="3" t="s">
        <v>205</v>
      </c>
      <c r="D167" s="3" t="s">
        <v>298</v>
      </c>
      <c r="E167" s="7" t="s">
        <v>299</v>
      </c>
      <c r="F167" s="3" t="s">
        <v>20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84.9</v>
      </c>
      <c r="V167" s="3">
        <v>0</v>
      </c>
      <c r="W167" s="3">
        <v>0</v>
      </c>
      <c r="X167" s="3">
        <v>84.9</v>
      </c>
      <c r="Y167" s="3" t="s">
        <v>45</v>
      </c>
      <c r="Z167" s="3">
        <v>0</v>
      </c>
      <c r="AA167" s="3" t="s">
        <v>23</v>
      </c>
      <c r="AB167" s="3" t="s">
        <v>23</v>
      </c>
      <c r="AC167" s="3" t="s">
        <v>23</v>
      </c>
      <c r="AD167" s="3" t="s">
        <v>23</v>
      </c>
      <c r="AE167" s="3" t="s">
        <v>23</v>
      </c>
      <c r="AF167" s="3" t="s">
        <v>23</v>
      </c>
      <c r="AG167" s="3" t="s">
        <v>23</v>
      </c>
      <c r="AH167" s="3" t="s">
        <v>23</v>
      </c>
      <c r="AI167" s="3" t="s">
        <v>23</v>
      </c>
      <c r="AJ167" s="3" t="s">
        <v>23</v>
      </c>
      <c r="AK167" s="3" t="s">
        <v>23</v>
      </c>
      <c r="AL167" s="3" t="s">
        <v>23</v>
      </c>
      <c r="AM167" s="3" t="s">
        <v>23</v>
      </c>
      <c r="AN167" s="3" t="s">
        <v>23</v>
      </c>
      <c r="AO167" s="3" t="s">
        <v>23</v>
      </c>
      <c r="AP167" s="3" t="s">
        <v>23</v>
      </c>
      <c r="AQ167" s="3" t="s">
        <v>23</v>
      </c>
      <c r="AR167" s="3" t="s">
        <v>23</v>
      </c>
      <c r="AS167" s="3" t="s">
        <v>23</v>
      </c>
      <c r="AT167" s="3" t="s">
        <v>23</v>
      </c>
      <c r="AU167" s="3" t="s">
        <v>23</v>
      </c>
      <c r="AV167" s="3" t="s">
        <v>23</v>
      </c>
      <c r="AW167" s="3" t="s">
        <v>23</v>
      </c>
    </row>
    <row r="168" spans="2:49" x14ac:dyDescent="0.3">
      <c r="B168" s="3" t="s">
        <v>55</v>
      </c>
      <c r="C168" s="3" t="s">
        <v>205</v>
      </c>
      <c r="D168" s="3" t="s">
        <v>215</v>
      </c>
      <c r="E168" s="7" t="s">
        <v>300</v>
      </c>
      <c r="F168" s="3" t="s">
        <v>20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84.9</v>
      </c>
      <c r="V168" s="3">
        <v>0</v>
      </c>
      <c r="W168" s="3">
        <v>0</v>
      </c>
      <c r="X168" s="3">
        <v>84.9</v>
      </c>
      <c r="Y168" s="3" t="s">
        <v>47</v>
      </c>
      <c r="Z168" s="3">
        <v>18.600000000000001</v>
      </c>
      <c r="AA168" s="3" t="s">
        <v>23</v>
      </c>
      <c r="AB168" s="3" t="s">
        <v>23</v>
      </c>
      <c r="AC168" s="3" t="s">
        <v>23</v>
      </c>
      <c r="AD168" s="3" t="s">
        <v>23</v>
      </c>
      <c r="AE168" s="3" t="s">
        <v>23</v>
      </c>
      <c r="AF168" s="3" t="s">
        <v>23</v>
      </c>
      <c r="AG168" s="3" t="s">
        <v>23</v>
      </c>
      <c r="AH168" s="3" t="s">
        <v>23</v>
      </c>
      <c r="AI168" s="3" t="s">
        <v>23</v>
      </c>
      <c r="AJ168" s="3" t="s">
        <v>23</v>
      </c>
      <c r="AK168" s="3" t="s">
        <v>23</v>
      </c>
      <c r="AL168" s="3" t="s">
        <v>23</v>
      </c>
      <c r="AM168" s="3" t="s">
        <v>23</v>
      </c>
      <c r="AN168" s="3" t="s">
        <v>23</v>
      </c>
      <c r="AO168" s="3" t="s">
        <v>23</v>
      </c>
      <c r="AP168" s="3" t="s">
        <v>23</v>
      </c>
      <c r="AQ168" s="3" t="s">
        <v>23</v>
      </c>
      <c r="AR168" s="3" t="s">
        <v>23</v>
      </c>
      <c r="AS168" s="3" t="s">
        <v>23</v>
      </c>
      <c r="AT168" s="3" t="s">
        <v>23</v>
      </c>
      <c r="AU168" s="3" t="s">
        <v>23</v>
      </c>
      <c r="AV168" s="3" t="s">
        <v>23</v>
      </c>
      <c r="AW168" s="3" t="s">
        <v>23</v>
      </c>
    </row>
    <row r="169" spans="2:49" x14ac:dyDescent="0.3">
      <c r="B169" s="3" t="s">
        <v>55</v>
      </c>
      <c r="C169" s="3" t="s">
        <v>205</v>
      </c>
      <c r="D169" s="3" t="s">
        <v>301</v>
      </c>
      <c r="E169" s="7" t="s">
        <v>302</v>
      </c>
      <c r="F169" s="3" t="s">
        <v>20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84.9</v>
      </c>
      <c r="V169" s="3">
        <v>0</v>
      </c>
      <c r="W169" s="3">
        <v>0</v>
      </c>
      <c r="X169" s="3">
        <v>84.9</v>
      </c>
      <c r="Y169" s="3" t="s">
        <v>43</v>
      </c>
      <c r="Z169" s="3" t="s">
        <v>23</v>
      </c>
      <c r="AA169" s="3" t="s">
        <v>23</v>
      </c>
      <c r="AB169" s="3" t="s">
        <v>23</v>
      </c>
      <c r="AC169" s="3" t="s">
        <v>23</v>
      </c>
      <c r="AD169" s="3" t="s">
        <v>23</v>
      </c>
      <c r="AE169" s="3" t="s">
        <v>23</v>
      </c>
      <c r="AF169" s="3" t="s">
        <v>23</v>
      </c>
      <c r="AG169" s="3" t="s">
        <v>23</v>
      </c>
      <c r="AH169" s="3" t="s">
        <v>23</v>
      </c>
      <c r="AI169" s="3" t="s">
        <v>23</v>
      </c>
      <c r="AJ169" s="3" t="s">
        <v>23</v>
      </c>
      <c r="AK169" s="3" t="s">
        <v>23</v>
      </c>
      <c r="AL169" s="3" t="s">
        <v>23</v>
      </c>
      <c r="AM169" s="3" t="s">
        <v>23</v>
      </c>
      <c r="AN169" s="3" t="s">
        <v>23</v>
      </c>
      <c r="AO169" s="3" t="s">
        <v>23</v>
      </c>
      <c r="AP169" s="3" t="s">
        <v>23</v>
      </c>
      <c r="AQ169" s="3" t="s">
        <v>23</v>
      </c>
      <c r="AR169" s="3" t="s">
        <v>23</v>
      </c>
      <c r="AS169" s="3" t="s">
        <v>23</v>
      </c>
      <c r="AT169" s="3" t="s">
        <v>23</v>
      </c>
      <c r="AU169" s="3" t="s">
        <v>23</v>
      </c>
      <c r="AV169" s="3" t="s">
        <v>23</v>
      </c>
      <c r="AW169" s="3" t="s">
        <v>23</v>
      </c>
    </row>
    <row r="170" spans="2:49" x14ac:dyDescent="0.3">
      <c r="B170" s="3" t="s">
        <v>55</v>
      </c>
      <c r="C170" s="3" t="s">
        <v>205</v>
      </c>
      <c r="D170" s="3" t="s">
        <v>215</v>
      </c>
      <c r="E170" s="7" t="s">
        <v>303</v>
      </c>
      <c r="F170" s="3" t="s">
        <v>20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84.9</v>
      </c>
      <c r="V170" s="3">
        <v>0</v>
      </c>
      <c r="W170" s="3">
        <v>0</v>
      </c>
      <c r="X170" s="3">
        <v>84.9</v>
      </c>
      <c r="Y170" s="3" t="s">
        <v>43</v>
      </c>
      <c r="Z170" s="3" t="s">
        <v>23</v>
      </c>
      <c r="AA170" s="3" t="s">
        <v>23</v>
      </c>
      <c r="AB170" s="3" t="s">
        <v>23</v>
      </c>
      <c r="AC170" s="3" t="s">
        <v>23</v>
      </c>
      <c r="AD170" s="3" t="s">
        <v>23</v>
      </c>
      <c r="AE170" s="3" t="s">
        <v>23</v>
      </c>
      <c r="AF170" s="3" t="s">
        <v>23</v>
      </c>
      <c r="AG170" s="3" t="s">
        <v>23</v>
      </c>
      <c r="AH170" s="3" t="s">
        <v>23</v>
      </c>
      <c r="AI170" s="3" t="s">
        <v>23</v>
      </c>
      <c r="AJ170" s="3" t="s">
        <v>23</v>
      </c>
      <c r="AK170" s="3" t="s">
        <v>23</v>
      </c>
      <c r="AL170" s="3" t="s">
        <v>23</v>
      </c>
      <c r="AM170" s="3" t="s">
        <v>23</v>
      </c>
      <c r="AN170" s="3" t="s">
        <v>23</v>
      </c>
      <c r="AO170" s="3" t="s">
        <v>23</v>
      </c>
      <c r="AP170" s="3" t="s">
        <v>23</v>
      </c>
      <c r="AQ170" s="3" t="s">
        <v>23</v>
      </c>
      <c r="AR170" s="3" t="s">
        <v>23</v>
      </c>
      <c r="AS170" s="3" t="s">
        <v>23</v>
      </c>
      <c r="AT170" s="3" t="s">
        <v>23</v>
      </c>
      <c r="AU170" s="3" t="s">
        <v>23</v>
      </c>
      <c r="AV170" s="3" t="s">
        <v>23</v>
      </c>
      <c r="AW170" s="3" t="s">
        <v>23</v>
      </c>
    </row>
    <row r="171" spans="2:49" x14ac:dyDescent="0.3">
      <c r="B171" s="3" t="s">
        <v>55</v>
      </c>
      <c r="C171" s="3" t="s">
        <v>169</v>
      </c>
      <c r="D171" s="3" t="s">
        <v>304</v>
      </c>
      <c r="E171" s="7" t="s">
        <v>305</v>
      </c>
      <c r="F171" s="3" t="s">
        <v>20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84.9</v>
      </c>
      <c r="V171" s="3">
        <v>0</v>
      </c>
      <c r="W171" s="3">
        <v>0</v>
      </c>
      <c r="X171" s="3">
        <v>84.9</v>
      </c>
      <c r="Y171" s="3" t="s">
        <v>43</v>
      </c>
      <c r="Z171" s="3" t="s">
        <v>23</v>
      </c>
      <c r="AA171" s="3" t="s">
        <v>23</v>
      </c>
      <c r="AB171" s="3" t="s">
        <v>23</v>
      </c>
      <c r="AC171" s="3" t="s">
        <v>23</v>
      </c>
      <c r="AD171" s="3" t="s">
        <v>23</v>
      </c>
      <c r="AE171" s="3" t="s">
        <v>23</v>
      </c>
      <c r="AF171" s="3" t="s">
        <v>23</v>
      </c>
      <c r="AG171" s="3" t="s">
        <v>23</v>
      </c>
      <c r="AH171" s="3" t="s">
        <v>23</v>
      </c>
      <c r="AI171" s="3" t="s">
        <v>23</v>
      </c>
      <c r="AJ171" s="3" t="s">
        <v>23</v>
      </c>
      <c r="AK171" s="3" t="s">
        <v>23</v>
      </c>
      <c r="AL171" s="3" t="s">
        <v>23</v>
      </c>
      <c r="AM171" s="3" t="s">
        <v>23</v>
      </c>
      <c r="AN171" s="3" t="s">
        <v>23</v>
      </c>
      <c r="AO171" s="3" t="s">
        <v>23</v>
      </c>
      <c r="AP171" s="3" t="s">
        <v>23</v>
      </c>
      <c r="AQ171" s="3" t="s">
        <v>23</v>
      </c>
      <c r="AR171" s="3" t="s">
        <v>23</v>
      </c>
      <c r="AS171" s="3" t="s">
        <v>23</v>
      </c>
      <c r="AT171" s="3" t="s">
        <v>23</v>
      </c>
      <c r="AU171" s="3" t="s">
        <v>23</v>
      </c>
      <c r="AV171" s="3" t="s">
        <v>23</v>
      </c>
      <c r="AW171" s="3" t="s">
        <v>23</v>
      </c>
    </row>
    <row r="172" spans="2:49" x14ac:dyDescent="0.3">
      <c r="B172" s="3" t="s">
        <v>55</v>
      </c>
      <c r="C172" s="3" t="s">
        <v>228</v>
      </c>
      <c r="D172" s="3" t="s">
        <v>306</v>
      </c>
      <c r="E172" s="7" t="s">
        <v>307</v>
      </c>
      <c r="F172" s="3" t="s">
        <v>20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84.9</v>
      </c>
      <c r="V172" s="3">
        <v>0</v>
      </c>
      <c r="W172" s="3">
        <v>0</v>
      </c>
      <c r="X172" s="3">
        <v>84.9</v>
      </c>
      <c r="Y172" s="3" t="s">
        <v>43</v>
      </c>
      <c r="Z172" s="3" t="s">
        <v>23</v>
      </c>
      <c r="AA172" s="3" t="s">
        <v>23</v>
      </c>
      <c r="AB172" s="3" t="s">
        <v>23</v>
      </c>
      <c r="AC172" s="3" t="s">
        <v>23</v>
      </c>
      <c r="AD172" s="3" t="s">
        <v>23</v>
      </c>
      <c r="AE172" s="3" t="s">
        <v>23</v>
      </c>
      <c r="AF172" s="3" t="s">
        <v>23</v>
      </c>
      <c r="AG172" s="3" t="s">
        <v>23</v>
      </c>
      <c r="AH172" s="3" t="s">
        <v>23</v>
      </c>
      <c r="AI172" s="3" t="s">
        <v>23</v>
      </c>
      <c r="AJ172" s="3" t="s">
        <v>23</v>
      </c>
      <c r="AK172" s="3" t="s">
        <v>23</v>
      </c>
      <c r="AL172" s="3" t="s">
        <v>23</v>
      </c>
      <c r="AM172" s="3" t="s">
        <v>23</v>
      </c>
      <c r="AN172" s="3" t="s">
        <v>23</v>
      </c>
      <c r="AO172" s="3" t="s">
        <v>23</v>
      </c>
      <c r="AP172" s="3" t="s">
        <v>23</v>
      </c>
      <c r="AQ172" s="3" t="s">
        <v>23</v>
      </c>
      <c r="AR172" s="3" t="s">
        <v>23</v>
      </c>
      <c r="AS172" s="3" t="s">
        <v>23</v>
      </c>
      <c r="AT172" s="3" t="s">
        <v>23</v>
      </c>
      <c r="AU172" s="3" t="s">
        <v>23</v>
      </c>
      <c r="AV172" s="3" t="s">
        <v>23</v>
      </c>
      <c r="AW172" s="3" t="s">
        <v>23</v>
      </c>
    </row>
    <row r="173" spans="2:49" x14ac:dyDescent="0.3">
      <c r="B173" s="3" t="s">
        <v>55</v>
      </c>
      <c r="C173" s="3" t="s">
        <v>228</v>
      </c>
      <c r="D173" s="3" t="s">
        <v>229</v>
      </c>
      <c r="E173" s="7" t="s">
        <v>308</v>
      </c>
      <c r="F173" s="3" t="s">
        <v>20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84.9</v>
      </c>
      <c r="V173" s="3">
        <v>0</v>
      </c>
      <c r="W173" s="3">
        <v>0</v>
      </c>
      <c r="X173" s="3">
        <v>84.9</v>
      </c>
      <c r="Y173" s="3" t="s">
        <v>43</v>
      </c>
      <c r="Z173" s="3" t="s">
        <v>23</v>
      </c>
      <c r="AA173" s="3" t="s">
        <v>23</v>
      </c>
      <c r="AB173" s="3" t="s">
        <v>23</v>
      </c>
      <c r="AC173" s="3" t="s">
        <v>23</v>
      </c>
      <c r="AD173" s="3" t="s">
        <v>23</v>
      </c>
      <c r="AE173" s="3" t="s">
        <v>23</v>
      </c>
      <c r="AF173" s="3" t="s">
        <v>23</v>
      </c>
      <c r="AG173" s="3" t="s">
        <v>23</v>
      </c>
      <c r="AH173" s="3" t="s">
        <v>23</v>
      </c>
      <c r="AI173" s="3" t="s">
        <v>23</v>
      </c>
      <c r="AJ173" s="3" t="s">
        <v>23</v>
      </c>
      <c r="AK173" s="3" t="s">
        <v>23</v>
      </c>
      <c r="AL173" s="3" t="s">
        <v>23</v>
      </c>
      <c r="AM173" s="3" t="s">
        <v>23</v>
      </c>
      <c r="AN173" s="3" t="s">
        <v>23</v>
      </c>
      <c r="AO173" s="3" t="s">
        <v>23</v>
      </c>
      <c r="AP173" s="3" t="s">
        <v>23</v>
      </c>
      <c r="AQ173" s="3" t="s">
        <v>23</v>
      </c>
      <c r="AR173" s="3" t="s">
        <v>23</v>
      </c>
      <c r="AS173" s="3" t="s">
        <v>23</v>
      </c>
      <c r="AT173" s="3" t="s">
        <v>23</v>
      </c>
      <c r="AU173" s="3" t="s">
        <v>23</v>
      </c>
      <c r="AV173" s="3" t="s">
        <v>23</v>
      </c>
      <c r="AW173" s="3" t="s">
        <v>23</v>
      </c>
    </row>
    <row r="174" spans="2:49" x14ac:dyDescent="0.3">
      <c r="B174" s="3" t="s">
        <v>55</v>
      </c>
      <c r="C174" s="3" t="s">
        <v>228</v>
      </c>
      <c r="D174" s="3" t="s">
        <v>229</v>
      </c>
      <c r="E174" s="7" t="s">
        <v>309</v>
      </c>
      <c r="F174" s="3" t="s">
        <v>20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84.9</v>
      </c>
      <c r="V174" s="3">
        <v>0</v>
      </c>
      <c r="W174" s="3">
        <v>0</v>
      </c>
      <c r="X174" s="3">
        <v>84.9</v>
      </c>
      <c r="Y174" s="3" t="s">
        <v>52</v>
      </c>
      <c r="Z174" s="3">
        <v>18.600000000000001</v>
      </c>
      <c r="AA174" s="3" t="s">
        <v>23</v>
      </c>
      <c r="AB174" s="3" t="s">
        <v>23</v>
      </c>
      <c r="AC174" s="3" t="s">
        <v>23</v>
      </c>
      <c r="AD174" s="3" t="s">
        <v>23</v>
      </c>
      <c r="AE174" s="3" t="s">
        <v>23</v>
      </c>
      <c r="AF174" s="3" t="s">
        <v>23</v>
      </c>
      <c r="AG174" s="3" t="s">
        <v>23</v>
      </c>
      <c r="AH174" s="3" t="s">
        <v>23</v>
      </c>
      <c r="AI174" s="3" t="s">
        <v>23</v>
      </c>
      <c r="AJ174" s="3" t="s">
        <v>23</v>
      </c>
      <c r="AK174" s="3" t="s">
        <v>23</v>
      </c>
      <c r="AL174" s="3" t="s">
        <v>23</v>
      </c>
      <c r="AM174" s="3" t="s">
        <v>23</v>
      </c>
      <c r="AN174" s="3" t="s">
        <v>23</v>
      </c>
      <c r="AO174" s="3" t="s">
        <v>23</v>
      </c>
      <c r="AP174" s="3" t="s">
        <v>23</v>
      </c>
      <c r="AQ174" s="3" t="s">
        <v>23</v>
      </c>
      <c r="AR174" s="3" t="s">
        <v>23</v>
      </c>
      <c r="AS174" s="3" t="s">
        <v>23</v>
      </c>
      <c r="AT174" s="3" t="s">
        <v>23</v>
      </c>
      <c r="AU174" s="3" t="s">
        <v>23</v>
      </c>
      <c r="AV174" s="3" t="s">
        <v>23</v>
      </c>
      <c r="AW174" s="3" t="s">
        <v>23</v>
      </c>
    </row>
    <row r="175" spans="2:49" x14ac:dyDescent="0.3">
      <c r="B175" s="3" t="s">
        <v>55</v>
      </c>
      <c r="C175" s="3" t="s">
        <v>181</v>
      </c>
      <c r="D175" s="3" t="s">
        <v>182</v>
      </c>
      <c r="E175" s="7" t="s">
        <v>184</v>
      </c>
      <c r="F175" s="3" t="s">
        <v>20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84.9</v>
      </c>
      <c r="V175" s="3">
        <v>0</v>
      </c>
      <c r="W175" s="3">
        <v>0</v>
      </c>
      <c r="X175" s="3">
        <v>84.9</v>
      </c>
      <c r="Y175" s="3" t="s">
        <v>33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</row>
    <row r="176" spans="2:49" x14ac:dyDescent="0.3">
      <c r="B176" s="3" t="s">
        <v>55</v>
      </c>
      <c r="C176" s="3" t="s">
        <v>169</v>
      </c>
      <c r="D176" s="3" t="s">
        <v>170</v>
      </c>
      <c r="E176" s="7" t="s">
        <v>171</v>
      </c>
      <c r="F176" s="3" t="s">
        <v>20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84.9</v>
      </c>
      <c r="V176" s="3">
        <v>0</v>
      </c>
      <c r="W176" s="3">
        <v>0</v>
      </c>
      <c r="X176" s="3">
        <v>84.9</v>
      </c>
      <c r="Y176" s="3" t="s">
        <v>33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</row>
    <row r="177" spans="2:49" x14ac:dyDescent="0.3">
      <c r="B177" s="3" t="s">
        <v>55</v>
      </c>
      <c r="C177" s="3" t="s">
        <v>205</v>
      </c>
      <c r="D177" s="3" t="s">
        <v>206</v>
      </c>
      <c r="E177" s="7" t="s">
        <v>207</v>
      </c>
      <c r="F177" s="3" t="s">
        <v>20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84.9</v>
      </c>
      <c r="V177" s="3">
        <v>0</v>
      </c>
      <c r="W177" s="3">
        <v>0</v>
      </c>
      <c r="X177" s="3">
        <v>84.9</v>
      </c>
      <c r="Y177" s="3" t="s">
        <v>33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</row>
    <row r="178" spans="2:49" x14ac:dyDescent="0.3">
      <c r="B178" s="3" t="s">
        <v>55</v>
      </c>
      <c r="C178" s="3" t="s">
        <v>205</v>
      </c>
      <c r="D178" s="3" t="s">
        <v>215</v>
      </c>
      <c r="E178" s="7" t="s">
        <v>310</v>
      </c>
      <c r="F178" s="3" t="s">
        <v>20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84.9</v>
      </c>
      <c r="V178" s="3">
        <v>0</v>
      </c>
      <c r="W178" s="3">
        <v>0</v>
      </c>
      <c r="X178" s="3">
        <v>84.9</v>
      </c>
      <c r="Y178" s="3" t="s">
        <v>33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</row>
    <row r="179" spans="2:49" x14ac:dyDescent="0.3">
      <c r="B179" s="3" t="s">
        <v>55</v>
      </c>
      <c r="C179" s="3" t="s">
        <v>181</v>
      </c>
      <c r="D179" s="3" t="s">
        <v>182</v>
      </c>
      <c r="E179" s="7" t="s">
        <v>188</v>
      </c>
      <c r="F179" s="3" t="s">
        <v>20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84.9</v>
      </c>
      <c r="V179" s="3">
        <v>0</v>
      </c>
      <c r="W179" s="3">
        <v>0</v>
      </c>
      <c r="X179" s="3">
        <v>84.9</v>
      </c>
      <c r="Y179" s="3" t="s">
        <v>33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</row>
    <row r="180" spans="2:49" x14ac:dyDescent="0.3">
      <c r="B180" s="4" t="s">
        <v>59</v>
      </c>
      <c r="C180" s="3" t="s">
        <v>260</v>
      </c>
      <c r="D180" s="3" t="s">
        <v>261</v>
      </c>
      <c r="E180" s="7" t="s">
        <v>262</v>
      </c>
      <c r="F180" s="3" t="s">
        <v>21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71.2</v>
      </c>
      <c r="U180" s="3">
        <v>0</v>
      </c>
      <c r="V180" s="3">
        <v>0</v>
      </c>
      <c r="W180" s="3">
        <v>121.2</v>
      </c>
      <c r="X180" s="3">
        <v>192.4</v>
      </c>
      <c r="Y180" s="3" t="s">
        <v>34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59.75</v>
      </c>
      <c r="AS180" s="3">
        <v>0</v>
      </c>
      <c r="AT180" s="3">
        <v>0</v>
      </c>
      <c r="AU180" s="3">
        <v>0</v>
      </c>
      <c r="AV180" s="3">
        <v>0</v>
      </c>
      <c r="AW180" s="3">
        <v>59.75</v>
      </c>
    </row>
    <row r="181" spans="2:49" x14ac:dyDescent="0.3">
      <c r="B181" s="4" t="s">
        <v>59</v>
      </c>
      <c r="C181" s="3" t="s">
        <v>263</v>
      </c>
      <c r="D181" s="3" t="s">
        <v>264</v>
      </c>
      <c r="E181" s="7" t="s">
        <v>265</v>
      </c>
      <c r="F181" s="3" t="s">
        <v>22</v>
      </c>
      <c r="G181" s="3">
        <v>0</v>
      </c>
      <c r="H181" s="3">
        <v>10.199999999999999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10.199999999999999</v>
      </c>
      <c r="Y181" s="3" t="s">
        <v>40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36.9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36.9</v>
      </c>
    </row>
    <row r="182" spans="2:49" x14ac:dyDescent="0.3">
      <c r="B182" s="4" t="s">
        <v>59</v>
      </c>
      <c r="C182" s="3" t="s">
        <v>266</v>
      </c>
      <c r="D182" s="3" t="s">
        <v>267</v>
      </c>
      <c r="E182" s="7" t="s">
        <v>268</v>
      </c>
      <c r="F182" s="3" t="s">
        <v>19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 t="s">
        <v>49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36.9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84.9</v>
      </c>
      <c r="AU182" s="3">
        <v>0</v>
      </c>
      <c r="AV182" s="3">
        <v>0</v>
      </c>
      <c r="AW182" s="3">
        <v>121.8</v>
      </c>
    </row>
  </sheetData>
  <mergeCells count="2">
    <mergeCell ref="F2:X2"/>
    <mergeCell ref="Y2:A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Batra F all(onlybothFR, nodup )</vt:lpstr>
      <vt:lpstr>Batra F all (use in fut)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B. Brammell</cp:lastModifiedBy>
  <dcterms:created xsi:type="dcterms:W3CDTF">2026-01-18T16:39:33Z</dcterms:created>
  <dcterms:modified xsi:type="dcterms:W3CDTF">2026-01-19T14:07:57Z</dcterms:modified>
</cp:coreProperties>
</file>